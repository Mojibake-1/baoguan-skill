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130" windowHeight="17680"/>
  </bookViews>
  <sheets>
    <sheet name="报关资料录入" sheetId="1" r:id="rId1"/>
    <sheet name="报关单" sheetId="5" r:id="rId2"/>
    <sheet name="装箱单" sheetId="7" r:id="rId3"/>
    <sheet name="发票" sheetId="8" r:id="rId4"/>
    <sheet name="合同" sheetId="6" r:id="rId5"/>
    <sheet name="存仓委托书" sheetId="9" r:id="rId6"/>
    <sheet name="申报要素" sheetId="11" r:id="rId7"/>
    <sheet name="报关委托书" sheetId="10" r:id="rId8"/>
  </sheets>
  <definedNames>
    <definedName name="_xlnm.Print_Area" localSheetId="3">发票!$A$1:$J$52</definedName>
    <definedName name="_xlnm.Print_Area" localSheetId="2">装箱单!$A$1:$I$84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<sst xmlns="http://schemas.openxmlformats.org/spreadsheetml/2006/main" count="448" uniqueCount="244">
  <si>
    <t>报关信息</t>
  </si>
  <si>
    <t>报关员:</t>
  </si>
  <si>
    <t>申报日期：</t>
  </si>
  <si>
    <t>申报单位:</t>
  </si>
  <si>
    <t>公
司
资
料</t>
  </si>
  <si>
    <t>境内发货人</t>
  </si>
  <si>
    <t>深圳市沐星科技有限公司</t>
  </si>
  <si>
    <t>境外收货人</t>
  </si>
  <si>
    <t>HONG KONG HENGSHUO INTELLIGENT TECHNOLOGY CO., LIMITED</t>
  </si>
  <si>
    <t>统一社会代码</t>
  </si>
  <si>
    <t>91440300MA5F74BQ1L</t>
  </si>
  <si>
    <t>地址</t>
  </si>
  <si>
    <t>WORKSHOP 60, 3/F, BLOCK A, EAST SUN INDUSTRIAL CENTRE NO.16, SHING YIP STREET KL</t>
  </si>
  <si>
    <t>海关编码</t>
  </si>
  <si>
    <t>电话/传真</t>
  </si>
  <si>
    <t>深圳市龙岗区龙城街道黄阁坑社区吉祥里豪庭9栋铭德大厦A、B栋A座1010</t>
  </si>
  <si>
    <t>生产销售单位</t>
  </si>
  <si>
    <t>海
关
资
料</t>
  </si>
  <si>
    <t>出境关别</t>
  </si>
  <si>
    <t>监管方式</t>
  </si>
  <si>
    <t>一般贸易</t>
  </si>
  <si>
    <t>合同协议号</t>
  </si>
  <si>
    <t>HS-US-20260312</t>
  </si>
  <si>
    <t>离境口岸</t>
  </si>
  <si>
    <t>征免性质</t>
  </si>
  <si>
    <t>一般征税</t>
  </si>
  <si>
    <t>合同日期</t>
  </si>
  <si>
    <t>抵运国</t>
  </si>
  <si>
    <t>美国</t>
  </si>
  <si>
    <t>征免方式</t>
  </si>
  <si>
    <t>照章征税</t>
  </si>
  <si>
    <t>合同地点</t>
  </si>
  <si>
    <t>深圳</t>
  </si>
  <si>
    <t>指运港</t>
  </si>
  <si>
    <t>备案号</t>
  </si>
  <si>
    <t>境内货源地</t>
  </si>
  <si>
    <t>深圳特区</t>
  </si>
  <si>
    <t>贸易国</t>
  </si>
  <si>
    <t>香港</t>
  </si>
  <si>
    <t>许可证号</t>
  </si>
  <si>
    <t>原产国</t>
  </si>
  <si>
    <t>中国</t>
  </si>
  <si>
    <t>运输方式</t>
  </si>
  <si>
    <t>水路运输</t>
  </si>
  <si>
    <t>包装类型</t>
  </si>
  <si>
    <t>纸制或纤维板制盒/箱</t>
  </si>
  <si>
    <t>成交方式</t>
  </si>
  <si>
    <t>FOB</t>
  </si>
  <si>
    <t>运输工具</t>
  </si>
  <si>
    <t>随附单证</t>
  </si>
  <si>
    <t>外汇币种</t>
  </si>
  <si>
    <t>USD</t>
  </si>
  <si>
    <t>提运单号</t>
  </si>
  <si>
    <t>箱唛</t>
  </si>
  <si>
    <t>N/M</t>
  </si>
  <si>
    <t>备注</t>
  </si>
  <si>
    <t xml:space="preserve">退税   </t>
  </si>
  <si>
    <t>集装箱号</t>
  </si>
  <si>
    <t>货物信息</t>
  </si>
  <si>
    <t>项号</t>
  </si>
  <si>
    <t>海关商品编码</t>
  </si>
  <si>
    <t>商品名称</t>
  </si>
  <si>
    <t>件数</t>
  </si>
  <si>
    <t>毛重 KG</t>
  </si>
  <si>
    <t>净重 KG</t>
  </si>
  <si>
    <t>数量</t>
  </si>
  <si>
    <t>单位</t>
  </si>
  <si>
    <t>单价</t>
  </si>
  <si>
    <t>个</t>
  </si>
  <si>
    <t>中华人民共和国海关出口货物报关单</t>
  </si>
  <si>
    <t>预录入编号：</t>
  </si>
  <si>
    <t>海关编号：</t>
  </si>
  <si>
    <t>页码/页数：</t>
  </si>
  <si>
    <t>1/2</t>
  </si>
  <si>
    <t>出口日期</t>
  </si>
  <si>
    <t>申报日期</t>
  </si>
  <si>
    <t>运输工具名称/及航次号</t>
  </si>
  <si>
    <t>贸易国(地区)</t>
  </si>
  <si>
    <t>运抵国(地区)</t>
  </si>
  <si>
    <t>包装种类</t>
  </si>
  <si>
    <t>毛重</t>
  </si>
  <si>
    <t>净重</t>
  </si>
  <si>
    <t>运费</t>
  </si>
  <si>
    <t>保费</t>
  </si>
  <si>
    <t>杂费</t>
  </si>
  <si>
    <t>随附单证及编号</t>
  </si>
  <si>
    <t>标记唛码及备注</t>
  </si>
  <si>
    <t>备注:</t>
  </si>
  <si>
    <t>商品编号</t>
  </si>
  <si>
    <t>商品名称及规格型号</t>
  </si>
  <si>
    <t>数量及单位</t>
  </si>
  <si>
    <t>单价/总价/币制</t>
  </si>
  <si>
    <t>原产国(地区)</t>
  </si>
  <si>
    <t>最终目的国(地区)</t>
  </si>
  <si>
    <t>征免</t>
  </si>
  <si>
    <t xml:space="preserve">美元 </t>
  </si>
  <si>
    <t>报关人员</t>
  </si>
  <si>
    <t>报关人员证号：</t>
  </si>
  <si>
    <t>电话：</t>
  </si>
  <si>
    <t>兹申明对以上内容承担如实申报、依法纳税之法律责任</t>
  </si>
  <si>
    <t>海关批注及签章</t>
  </si>
  <si>
    <t>申报单位</t>
  </si>
  <si>
    <t>申报单位 (签章)</t>
  </si>
  <si>
    <t>装 箱 单</t>
  </si>
  <si>
    <t xml:space="preserve">PACKING LIST </t>
  </si>
  <si>
    <t>买方 Buyers :</t>
  </si>
  <si>
    <t>发票日期 Date :</t>
  </si>
  <si>
    <t>地址 Address :</t>
  </si>
  <si>
    <t>发票编号 Invoice No :</t>
  </si>
  <si>
    <t>装运口岸及目的地 :</t>
  </si>
  <si>
    <t>成交方式 :</t>
  </si>
  <si>
    <t>Loading Port &amp; Destination :</t>
  </si>
  <si>
    <t>Terms of Payment :</t>
  </si>
  <si>
    <t>项号
No.</t>
  </si>
  <si>
    <t>商品名称及规格
Description  of  Goods</t>
  </si>
  <si>
    <t>总箱数
Ge.Crate</t>
  </si>
  <si>
    <t>总数量
Ge.Quantity</t>
  </si>
  <si>
    <t>总毛重(千克)
G.W.:KG</t>
  </si>
  <si>
    <t>总净重(千克)
N.W.:KG</t>
  </si>
  <si>
    <t>合计 TOTAL:</t>
  </si>
  <si>
    <t>唛头 Marks:</t>
  </si>
  <si>
    <t>发 票</t>
  </si>
  <si>
    <t>INVOICE</t>
  </si>
  <si>
    <t>发票号 Invoice No :</t>
  </si>
  <si>
    <t>数量/重量 Quantity/Weight</t>
  </si>
  <si>
    <t>单价
Unit price</t>
  </si>
  <si>
    <t>总金额
Amount</t>
  </si>
  <si>
    <t>TOTAL :</t>
  </si>
  <si>
    <t>合 同</t>
  </si>
  <si>
    <t>CONTRACT</t>
  </si>
  <si>
    <t>卖  方 Sellers :</t>
  </si>
  <si>
    <t>合同号 :</t>
  </si>
  <si>
    <t>地  址 Address :</t>
  </si>
  <si>
    <t>Contract No :</t>
  </si>
  <si>
    <t>电话 Tel.：</t>
  </si>
  <si>
    <t>传真 Fax :</t>
  </si>
  <si>
    <t>签约日期 :</t>
  </si>
  <si>
    <t>Date :</t>
  </si>
  <si>
    <t>买  方 Buyers :</t>
  </si>
  <si>
    <t>签约地点 :</t>
  </si>
  <si>
    <t>Signed at :</t>
  </si>
  <si>
    <t>经买卖双方确认根据下列条款订立本合同：</t>
  </si>
  <si>
    <t>This contract is made out by the Sellers and Buyers as per the following terms and conditions mutually confirmed:</t>
  </si>
  <si>
    <t>(1) 商品名称及规格
Description  of  Goods</t>
  </si>
  <si>
    <t>(2) 数量/重量 Quantity/Weight</t>
  </si>
  <si>
    <t>(3) 单价
Unit price</t>
  </si>
  <si>
    <t>(4) 总金额
Amount</t>
  </si>
  <si>
    <t xml:space="preserve">  总值(大写) Total Amount:</t>
  </si>
  <si>
    <t>数量及总价允许有  5   %的增减。</t>
  </si>
  <si>
    <t xml:space="preserve">5%more or less both in amount and quantity allowed. </t>
  </si>
  <si>
    <t>（5）成交方式：</t>
  </si>
  <si>
    <t xml:space="preserve">（6）包装：按卖方一般出口包装。                     </t>
  </si>
  <si>
    <t xml:space="preserve"> Packing: According to Seller's export worthy packaging.</t>
  </si>
  <si>
    <t xml:space="preserve">（7）装  运  期：                                         </t>
  </si>
  <si>
    <t>30天内</t>
  </si>
  <si>
    <t>Time of Shipment:</t>
  </si>
  <si>
    <t>（8）装运口岸及目的地：</t>
  </si>
  <si>
    <t>准许分批与转船。</t>
  </si>
  <si>
    <t xml:space="preserve">  Loading Port &amp; Destination: From</t>
  </si>
  <si>
    <t>with transshipment and partial shipments allowed.</t>
  </si>
  <si>
    <t xml:space="preserve">（9）保  险：由买方按发票总值加10%海运投保一切险及战争险，不保罢工险。按照中国人民保险公司              </t>
  </si>
  <si>
    <t xml:space="preserve"> 海洋运输货物保险条款进行投保。</t>
  </si>
  <si>
    <t>（10）其他 Others:</t>
  </si>
  <si>
    <t>卖方</t>
  </si>
  <si>
    <t>买方</t>
  </si>
  <si>
    <t>The Sellers:</t>
  </si>
  <si>
    <t>The Buyers:</t>
  </si>
  <si>
    <t>存仓委托书</t>
  </si>
  <si>
    <t>公司:</t>
  </si>
  <si>
    <t>我公司拟将下列货物存入贵公司出口监管仓库，这批货物属:</t>
  </si>
  <si>
    <r>
      <rPr>
        <sz val="15"/>
        <rFont val="Wingdings 2"/>
        <charset val="2"/>
      </rPr>
      <t>R</t>
    </r>
    <r>
      <rPr>
        <sz val="13"/>
        <rFont val="宋体"/>
        <charset val="134"/>
      </rPr>
      <t xml:space="preserve"> 一般贸易出口          </t>
    </r>
    <r>
      <rPr>
        <sz val="15"/>
        <rFont val="Wingdings 2"/>
        <charset val="2"/>
      </rPr>
      <t>£</t>
    </r>
    <r>
      <rPr>
        <sz val="13"/>
        <rFont val="宋体"/>
        <charset val="134"/>
      </rPr>
      <t xml:space="preserve"> 加工贸易企业出口</t>
    </r>
  </si>
  <si>
    <t>货物名称:</t>
  </si>
  <si>
    <t>境内货源地:</t>
  </si>
  <si>
    <t>规格及包装:</t>
  </si>
  <si>
    <t>数    量:</t>
  </si>
  <si>
    <t>件</t>
  </si>
  <si>
    <t>重    量:</t>
  </si>
  <si>
    <t>千克</t>
  </si>
  <si>
    <t>价    值:</t>
  </si>
  <si>
    <t>运输工具:</t>
  </si>
  <si>
    <t>出境口岸:</t>
  </si>
  <si>
    <t>存 放 期:</t>
  </si>
  <si>
    <t>一个月</t>
  </si>
  <si>
    <t>请即与海关联系,准予办理货物入仓手续。</t>
  </si>
  <si>
    <t>特此委托</t>
  </si>
  <si>
    <t xml:space="preserve">申请人地址:  </t>
  </si>
  <si>
    <t>审请人签署：</t>
  </si>
  <si>
    <t>电      话:</t>
  </si>
  <si>
    <t>（盖章）</t>
  </si>
  <si>
    <t>传      真:</t>
  </si>
  <si>
    <t>货 物 申 报 要 素 表</t>
  </si>
  <si>
    <t>S/O号码：</t>
  </si>
  <si>
    <t>序号</t>
  </si>
  <si>
    <t>货物品名</t>
  </si>
  <si>
    <t>商品编码</t>
  </si>
  <si>
    <t>申报要素描述</t>
  </si>
  <si>
    <t>代 理 报 关 委 托 书</t>
  </si>
  <si>
    <r>
      <rPr>
        <b/>
        <sz val="10"/>
        <rFont val="宋体"/>
        <charset val="134"/>
      </rPr>
      <t>编号：</t>
    </r>
    <r>
      <rPr>
        <b/>
        <sz val="15"/>
        <rFont val="Courier New"/>
        <charset val="0"/>
      </rPr>
      <t>002</t>
    </r>
  </si>
  <si>
    <t>:</t>
  </si>
  <si>
    <r>
      <rPr>
        <sz val="12"/>
        <rFont val="宋体"/>
        <charset val="134"/>
        <scheme val="minor"/>
      </rPr>
      <t xml:space="preserve">    我单位现    </t>
    </r>
    <r>
      <rPr>
        <sz val="12"/>
        <rFont val="宋体"/>
        <charset val="134"/>
      </rPr>
      <t xml:space="preserve"> (</t>
    </r>
    <r>
      <rPr>
        <sz val="12"/>
        <rFont val="楷体"/>
        <charset val="134"/>
      </rPr>
      <t>A逐票、B长期</t>
    </r>
    <r>
      <rPr>
        <sz val="12"/>
        <rFont val="宋体"/>
        <charset val="134"/>
      </rPr>
      <t>)委托贵公司代理</t>
    </r>
    <r>
      <rPr>
        <sz val="12"/>
        <rFont val="宋体"/>
        <charset val="134"/>
      </rPr>
      <t xml:space="preserve">     </t>
    </r>
    <r>
      <rPr>
        <sz val="12"/>
        <rFont val="宋体"/>
        <charset val="134"/>
      </rPr>
      <t>等通关事宜。（</t>
    </r>
    <r>
      <rPr>
        <sz val="12"/>
        <rFont val="楷体"/>
        <charset val="134"/>
      </rPr>
      <t>A、报关查验 B、辅助查验 C、</t>
    </r>
  </si>
  <si>
    <r>
      <rPr>
        <sz val="12"/>
        <rFont val="楷体"/>
        <charset val="134"/>
      </rPr>
      <t>垫缴税款 D、办理海关证明联 E、审批手册 F、核销手册 G、申办减免税手续 H、其他</t>
    </r>
    <r>
      <rPr>
        <sz val="12"/>
        <rFont val="宋体"/>
        <charset val="134"/>
      </rPr>
      <t xml:space="preserve"> ）详见《委托</t>
    </r>
  </si>
  <si>
    <t>报关协议》。</t>
  </si>
  <si>
    <t xml:space="preserve">    我单位保证遵守《海关法》和国家有关法规，保证所提供的情况真实、完整、单货相符。否则，愿</t>
  </si>
  <si>
    <t xml:space="preserve">承担相关法律责任。 </t>
  </si>
  <si>
    <t>委托方（盖章）：</t>
  </si>
  <si>
    <t>法定代表人或其授权签署《代理报关委托书》的人（签字）</t>
  </si>
  <si>
    <t>委 托 报 关 协 议</t>
  </si>
  <si>
    <t xml:space="preserve">为明确委托报关具体事项和各自责任，双方经平等协商签定协议如下：  </t>
  </si>
  <si>
    <t xml:space="preserve">委托方 </t>
  </si>
  <si>
    <t xml:space="preserve">被委托方 </t>
  </si>
  <si>
    <t>主要货物名称</t>
  </si>
  <si>
    <t xml:space="preserve">*报关单编码 </t>
  </si>
  <si>
    <t xml:space="preserve"> No.</t>
  </si>
  <si>
    <t xml:space="preserve">HS编码 </t>
  </si>
  <si>
    <t xml:space="preserve">收到单证日期 </t>
  </si>
  <si>
    <t>年     月     日</t>
  </si>
  <si>
    <t>货物总价</t>
  </si>
  <si>
    <t>收到单证情况</t>
  </si>
  <si>
    <r>
      <rPr>
        <sz val="9"/>
        <rFont val="宋体"/>
        <charset val="134"/>
        <scheme val="minor"/>
      </rPr>
      <t>合同</t>
    </r>
    <r>
      <rPr>
        <sz val="12"/>
        <rFont val="Wingdings 2"/>
        <charset val="2"/>
      </rPr>
      <t>R</t>
    </r>
  </si>
  <si>
    <r>
      <rPr>
        <sz val="9"/>
        <rFont val="宋体"/>
        <charset val="134"/>
        <scheme val="minor"/>
      </rPr>
      <t>发票</t>
    </r>
    <r>
      <rPr>
        <sz val="12"/>
        <rFont val="Wingdings 2"/>
        <charset val="2"/>
      </rPr>
      <t>R</t>
    </r>
  </si>
  <si>
    <t xml:space="preserve">进出口日期 </t>
  </si>
  <si>
    <r>
      <rPr>
        <sz val="9"/>
        <rFont val="宋体"/>
        <charset val="134"/>
        <scheme val="minor"/>
      </rPr>
      <t>装箱清单</t>
    </r>
    <r>
      <rPr>
        <sz val="12"/>
        <rFont val="Wingdings 2"/>
        <charset val="2"/>
      </rPr>
      <t>R</t>
    </r>
  </si>
  <si>
    <r>
      <rPr>
        <sz val="9"/>
        <rFont val="宋体"/>
        <charset val="134"/>
        <scheme val="minor"/>
      </rPr>
      <t>提（运）单</t>
    </r>
    <r>
      <rPr>
        <sz val="12"/>
        <rFont val="Wingdings 2"/>
        <charset val="2"/>
      </rPr>
      <t>£</t>
    </r>
  </si>
  <si>
    <t xml:space="preserve">提单号 </t>
  </si>
  <si>
    <r>
      <rPr>
        <sz val="9"/>
        <rFont val="宋体"/>
        <charset val="134"/>
        <scheme val="minor"/>
      </rPr>
      <t>加工贸易手册</t>
    </r>
    <r>
      <rPr>
        <sz val="12"/>
        <rFont val="Wingdings 2"/>
        <charset val="2"/>
      </rPr>
      <t>£</t>
    </r>
  </si>
  <si>
    <r>
      <rPr>
        <sz val="9"/>
        <rFont val="宋体"/>
        <charset val="134"/>
        <scheme val="minor"/>
      </rPr>
      <t>许可证件</t>
    </r>
    <r>
      <rPr>
        <sz val="12"/>
        <rFont val="Wingdings 2"/>
        <charset val="2"/>
      </rPr>
      <t>£</t>
    </r>
  </si>
  <si>
    <t xml:space="preserve">贸易方式 </t>
  </si>
  <si>
    <t xml:space="preserve">  其他 </t>
  </si>
  <si>
    <t>原产地/货源地</t>
  </si>
  <si>
    <t xml:space="preserve">   报关则费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</si>
  <si>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人民币：     </t>
  </si>
  <si>
    <t>元</t>
  </si>
  <si>
    <t xml:space="preserve">其他要求： </t>
  </si>
  <si>
    <t xml:space="preserve">承诺说明： </t>
  </si>
  <si>
    <t xml:space="preserve">背面所列通用条款是本协议不可分割的一部分，对本协议的签署构成了对背面通用条款的同意。 </t>
  </si>
  <si>
    <t xml:space="preserve">委托方业务签章： </t>
  </si>
  <si>
    <t xml:space="preserve">被委托方业务签章： </t>
  </si>
  <si>
    <t xml:space="preserve">经办人签章： </t>
  </si>
  <si>
    <t>经办报关员签章：</t>
  </si>
  <si>
    <t xml:space="preserve">联系电话：                 </t>
  </si>
  <si>
    <t xml:space="preserve">联系电话：              </t>
  </si>
  <si>
    <t xml:space="preserve"> 年    月    日</t>
  </si>
  <si>
    <t>（白联：海关留存、黄联：被委托方留存、红联：委托方留存）</t>
  </si>
  <si>
    <t>中国报关协会监制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</si>
</sst>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\ \ \ &quot;本&quot;&quot;委&quot;&quot;托&quot;&quot;书&quot;&quot;有&quot;&quot;效&quot;&quot;期&quot;&quot;自&quot;&quot;签&quot;&quot;字&quot;&quot;之&quot;&quot;日&quot;&quot;起&quot;&quot;至&quot;\ \ yyyy\ &quot;年&quot;\ mm\ &quot;月&quot;\ dd\ &quot;日&quot;\ \ &quot;止&quot;&quot;。&quot;"/>
    <numFmt numFmtId="178" formatCode="yyyy\ &quot;年&quot;\ m\ &quot;月&quot;\ d\ &quot;日&quot;"/>
    <numFmt numFmtId="179" formatCode="yyyy\ &quot;年&quot;\ mm\ &quot;月&quot;\ dd\ &quot;日&quot;"/>
    <numFmt numFmtId="180" formatCode="0.00_ "/>
    <numFmt numFmtId="181" formatCode="[$-F800]dddd\,\ mmmm\ dd\,\ yyyy"/>
    <numFmt numFmtId="182" formatCode="yyyy&quot;年&quot;m&quot;月&quot;d&quot;日&quot;;@"/>
    <numFmt numFmtId="183" formatCode="&quot;(&quot;@&quot;)&quot;"/>
    <numFmt numFmtId="184" formatCode="yyyy/m/d;@"/>
    <numFmt numFmtId="185" formatCode="0.0000_ "/>
  </numFmts>
  <fonts count="86">
    <font>
      <sz val="12"/>
      <name val="宋体"/>
      <charset val="134"/>
    </font>
    <font>
      <sz val="12"/>
      <name val="宋体"/>
      <charset val="134"/>
      <scheme val="minor"/>
    </font>
    <font>
      <b/>
      <sz val="18"/>
      <name val="黑体"/>
      <charset val="134"/>
    </font>
    <font>
      <sz val="18"/>
      <name val="宋体"/>
      <charset val="134"/>
      <scheme val="minor"/>
    </font>
    <font>
      <sz val="16"/>
      <name val="宋体"/>
      <charset val="134"/>
      <scheme val="minor"/>
    </font>
    <font>
      <sz val="10"/>
      <name val="微软雅黑"/>
      <charset val="134"/>
    </font>
    <font>
      <b/>
      <sz val="10"/>
      <name val="宋体"/>
      <charset val="134"/>
    </font>
    <font>
      <b/>
      <sz val="15"/>
      <name val="Courier New"/>
      <charset val="0"/>
    </font>
    <font>
      <sz val="12"/>
      <name val="楷体"/>
      <charset val="134"/>
    </font>
    <font>
      <b/>
      <sz val="16"/>
      <name val="黑体"/>
      <charset val="134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b/>
      <sz val="10"/>
      <name val="宋体"/>
      <charset val="134"/>
      <scheme val="minor"/>
    </font>
    <font>
      <sz val="10"/>
      <color indexed="0"/>
      <name val="宋体"/>
      <charset val="134"/>
      <scheme val="minor"/>
    </font>
    <font>
      <b/>
      <sz val="10"/>
      <color indexed="0"/>
      <name val="宋体"/>
      <charset val="134"/>
      <scheme val="minor"/>
    </font>
    <font>
      <sz val="10.5"/>
      <name val="宋体"/>
      <charset val="134"/>
      <scheme val="minor"/>
    </font>
    <font>
      <b/>
      <sz val="14"/>
      <name val="楷体"/>
      <charset val="134"/>
    </font>
    <font>
      <b/>
      <sz val="18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3"/>
      <name val="宋体"/>
      <charset val="134"/>
    </font>
    <font>
      <b/>
      <sz val="24"/>
      <name val="宋体"/>
      <charset val="134"/>
    </font>
    <font>
      <sz val="15"/>
      <name val="Wingdings 2"/>
      <charset val="2"/>
    </font>
    <font>
      <sz val="13"/>
      <name val="Times New Roman"/>
      <charset val="0"/>
    </font>
    <font>
      <sz val="16"/>
      <name val="宋体"/>
      <charset val="134"/>
    </font>
    <font>
      <sz val="18"/>
      <name val="宋体"/>
      <charset val="134"/>
    </font>
    <font>
      <sz val="16"/>
      <name val="Times New Roman"/>
      <charset val="0"/>
    </font>
    <font>
      <sz val="12"/>
      <name val="Times New Roman"/>
      <charset val="0"/>
    </font>
    <font>
      <sz val="12"/>
      <color indexed="8"/>
      <name val="微软雅黑"/>
      <charset val="134"/>
    </font>
    <font>
      <b/>
      <sz val="14"/>
      <color indexed="8"/>
      <name val="微软雅黑"/>
      <charset val="134"/>
    </font>
    <font>
      <b/>
      <sz val="16"/>
      <color theme="1"/>
      <name val="微软雅黑"/>
      <charset val="134"/>
    </font>
    <font>
      <sz val="14"/>
      <color indexed="8"/>
      <name val="微软雅黑"/>
      <charset val="134"/>
    </font>
    <font>
      <sz val="9"/>
      <color indexed="8"/>
      <name val="微软雅黑"/>
      <charset val="134"/>
    </font>
    <font>
      <b/>
      <sz val="10"/>
      <color indexed="8"/>
      <name val="微软雅黑"/>
      <charset val="134"/>
    </font>
    <font>
      <b/>
      <sz val="9"/>
      <color indexed="8"/>
      <name val="微软雅黑"/>
      <charset val="134"/>
    </font>
    <font>
      <sz val="9"/>
      <name val="微软雅黑"/>
      <charset val="134"/>
    </font>
    <font>
      <sz val="8"/>
      <color indexed="8"/>
      <name val="微软雅黑"/>
      <charset val="134"/>
    </font>
    <font>
      <b/>
      <sz val="9"/>
      <name val="微软雅黑"/>
      <charset val="134"/>
    </font>
    <font>
      <b/>
      <sz val="10"/>
      <name val="微软雅黑"/>
      <charset val="134"/>
    </font>
    <font>
      <b/>
      <sz val="11"/>
      <color indexed="8"/>
      <name val="微软雅黑"/>
      <charset val="134"/>
    </font>
    <font>
      <b/>
      <sz val="10.5"/>
      <color indexed="8"/>
      <name val="微软雅黑"/>
      <charset val="134"/>
    </font>
    <font>
      <b/>
      <sz val="20"/>
      <color indexed="8"/>
      <name val="黑体"/>
      <charset val="134"/>
    </font>
    <font>
      <sz val="12"/>
      <name val="微软雅黑"/>
      <charset val="134"/>
    </font>
    <font>
      <b/>
      <sz val="14"/>
      <color theme="1"/>
      <name val="微软雅黑"/>
      <charset val="134"/>
    </font>
    <font>
      <sz val="10"/>
      <color indexed="8"/>
      <name val="微软雅黑"/>
      <charset val="134"/>
    </font>
    <font>
      <sz val="12"/>
      <color indexed="8"/>
      <name val="Times New Roman"/>
      <charset val="0"/>
    </font>
    <font>
      <sz val="8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8"/>
      <name val="宋体"/>
      <charset val="134"/>
    </font>
    <font>
      <b/>
      <sz val="9"/>
      <name val="Arial"/>
      <charset val="0"/>
    </font>
    <font>
      <sz val="11"/>
      <name val="微软雅黑"/>
      <charset val="134"/>
    </font>
    <font>
      <b/>
      <sz val="18"/>
      <color theme="0"/>
      <name val="微软雅黑"/>
      <charset val="134"/>
    </font>
    <font>
      <b/>
      <sz val="14"/>
      <color theme="0"/>
      <name val="仿宋"/>
      <charset val="134"/>
    </font>
    <font>
      <sz val="10"/>
      <color rgb="FFFF0000"/>
      <name val="微软雅黑"/>
      <charset val="134"/>
    </font>
    <font>
      <sz val="9"/>
      <name val="Arial"/>
      <charset val="0"/>
    </font>
    <font>
      <b/>
      <sz val="12"/>
      <name val="微软雅黑"/>
      <charset val="134"/>
    </font>
    <font>
      <b/>
      <sz val="16"/>
      <color theme="0"/>
      <name val="微软雅黑"/>
      <charset val="134"/>
    </font>
    <font>
      <b/>
      <sz val="11"/>
      <name val="微软雅黑"/>
      <charset val="134"/>
    </font>
    <font>
      <sz val="12"/>
      <name val="Arial"/>
      <charset val="0"/>
    </font>
    <font>
      <sz val="11"/>
      <color rgb="FF000000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name val="Cordia New"/>
      <charset val="0"/>
    </font>
    <font>
      <sz val="10"/>
      <color indexed="8"/>
      <name val="MS Sans Serif"/>
      <charset val="0"/>
    </font>
    <font>
      <sz val="12"/>
      <name val="Wingdings 2"/>
      <charset val="2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/>
      <bottom style="hair">
        <color indexed="0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9" borderId="103" applyNumberFormat="0" applyFon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0" borderId="104" applyNumberFormat="0" applyFill="0" applyAlignment="0" applyProtection="0">
      <alignment vertical="center"/>
    </xf>
    <xf numFmtId="0" fontId="71" fillId="0" borderId="10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0" borderId="106" applyNumberFormat="0" applyAlignment="0" applyProtection="0">
      <alignment vertical="center"/>
    </xf>
    <xf numFmtId="0" fontId="73" fillId="11" borderId="107" applyNumberFormat="0" applyAlignment="0" applyProtection="0">
      <alignment vertical="center"/>
    </xf>
    <xf numFmtId="0" fontId="74" fillId="11" borderId="106" applyNumberFormat="0" applyAlignment="0" applyProtection="0">
      <alignment vertical="center"/>
    </xf>
    <xf numFmtId="0" fontId="75" fillId="12" borderId="108" applyNumberFormat="0" applyAlignment="0" applyProtection="0">
      <alignment vertical="center"/>
    </xf>
    <xf numFmtId="0" fontId="76" fillId="0" borderId="109" applyNumberFormat="0" applyFill="0" applyAlignment="0" applyProtection="0">
      <alignment vertical="center"/>
    </xf>
    <xf numFmtId="0" fontId="77" fillId="0" borderId="110" applyNumberFormat="0" applyFill="0" applyAlignment="0" applyProtection="0">
      <alignment vertical="center"/>
    </xf>
    <xf numFmtId="0" fontId="78" fillId="13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2" fillId="6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1" fillId="22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1" fillId="25" borderId="0" applyNumberFormat="0" applyBorder="0" applyAlignment="0" applyProtection="0">
      <alignment vertical="center"/>
    </xf>
    <xf numFmtId="0" fontId="81" fillId="26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33" borderId="0" applyNumberFormat="0" applyBorder="0" applyAlignment="0" applyProtection="0">
      <alignment vertical="center"/>
    </xf>
    <xf numFmtId="0" fontId="81" fillId="34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81" fillId="36" borderId="0" applyNumberFormat="0" applyBorder="0" applyAlignment="0" applyProtection="0">
      <alignment vertical="center"/>
    </xf>
    <xf numFmtId="0" fontId="83" fillId="0" borderId="0"/>
    <xf numFmtId="0" fontId="29" fillId="0" borderId="0"/>
    <xf numFmtId="0" fontId="84" fillId="0" borderId="0"/>
    <xf numFmtId="0" fontId="0" fillId="0" borderId="0">
      <alignment vertical="center"/>
    </xf>
    <xf numFmtId="0" fontId="0" fillId="0" borderId="0" applyBorder="0">
      <alignment vertical="center"/>
    </xf>
    <xf numFmtId="0" fontId="84" fillId="0" borderId="0"/>
  </cellStyleXfs>
  <cellXfs count="576">
    <xf numFmtId="0" fontId="0" fillId="0" borderId="0" xfId="0"/>
    <xf numFmtId="0" fontId="1" fillId="0" borderId="0" xfId="53" applyFont="1">
      <alignment vertical="center"/>
    </xf>
    <xf numFmtId="0" fontId="0" fillId="0" borderId="0" xfId="53">
      <alignment vertical="center"/>
    </xf>
    <xf numFmtId="0" fontId="2" fillId="0" borderId="0" xfId="53" applyFont="1" applyAlignment="1">
      <alignment horizontal="center" vertical="center"/>
    </xf>
    <xf numFmtId="0" fontId="3" fillId="0" borderId="0" xfId="53" applyFont="1" applyAlignment="1">
      <alignment horizontal="center" vertical="center"/>
    </xf>
    <xf numFmtId="0" fontId="4" fillId="0" borderId="0" xfId="53" applyFont="1" applyAlignment="1">
      <alignment horizontal="center" vertical="center"/>
    </xf>
    <xf numFmtId="0" fontId="5" fillId="0" borderId="0" xfId="53" applyFont="1" applyAlignment="1">
      <alignment horizontal="right"/>
    </xf>
    <xf numFmtId="49" fontId="6" fillId="0" borderId="0" xfId="53" applyNumberFormat="1" applyFont="1" applyAlignment="1">
      <alignment horizontal="right" vertical="center"/>
    </xf>
    <xf numFmtId="176" fontId="7" fillId="0" borderId="0" xfId="53" applyNumberFormat="1" applyFont="1" applyAlignment="1">
      <alignment horizontal="left" vertical="center"/>
    </xf>
    <xf numFmtId="0" fontId="1" fillId="0" borderId="0" xfId="53" applyFont="1" applyAlignment="1">
      <alignment horizontal="right" vertical="center"/>
    </xf>
    <xf numFmtId="0" fontId="8" fillId="0" borderId="0" xfId="53" applyFont="1">
      <alignment vertical="center"/>
    </xf>
    <xf numFmtId="0" fontId="1" fillId="0" borderId="0" xfId="53" applyFont="1" applyAlignment="1">
      <alignment vertical="center"/>
    </xf>
    <xf numFmtId="177" fontId="1" fillId="0" borderId="0" xfId="53" applyNumberFormat="1" applyFont="1" applyAlignment="1">
      <alignment horizontal="left" vertical="center"/>
    </xf>
    <xf numFmtId="0" fontId="1" fillId="0" borderId="0" xfId="53" applyFont="1" applyAlignment="1">
      <alignment horizontal="center" vertical="center"/>
    </xf>
    <xf numFmtId="0" fontId="1" fillId="0" borderId="0" xfId="0" applyFont="1"/>
    <xf numFmtId="0" fontId="4" fillId="0" borderId="0" xfId="53" applyFont="1">
      <alignment vertical="center"/>
    </xf>
    <xf numFmtId="178" fontId="1" fillId="0" borderId="0" xfId="53" applyNumberFormat="1" applyFont="1" applyAlignment="1">
      <alignment horizontal="right" vertical="center" indent="1"/>
    </xf>
    <xf numFmtId="0" fontId="9" fillId="0" borderId="0" xfId="53" applyFont="1" applyAlignment="1">
      <alignment horizontal="center" vertical="center"/>
    </xf>
    <xf numFmtId="0" fontId="10" fillId="0" borderId="0" xfId="53" applyFont="1" applyAlignment="1">
      <alignment horizontal="left" vertical="center"/>
    </xf>
    <xf numFmtId="0" fontId="11" fillId="0" borderId="0" xfId="53" applyFont="1" applyAlignment="1">
      <alignment horizontal="left" vertical="center"/>
    </xf>
    <xf numFmtId="0" fontId="12" fillId="0" borderId="1" xfId="53" applyFont="1" applyBorder="1" applyAlignment="1">
      <alignment horizontal="center" vertical="center" wrapText="1"/>
    </xf>
    <xf numFmtId="0" fontId="13" fillId="0" borderId="1" xfId="53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0" borderId="2" xfId="53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2" fillId="0" borderId="2" xfId="53" applyFont="1" applyBorder="1" applyAlignment="1">
      <alignment horizontal="center" vertical="center" wrapText="1"/>
    </xf>
    <xf numFmtId="179" fontId="12" fillId="0" borderId="1" xfId="53" applyNumberFormat="1" applyFont="1" applyBorder="1" applyAlignment="1">
      <alignment horizontal="center" vertical="center" wrapText="1"/>
    </xf>
    <xf numFmtId="0" fontId="12" fillId="0" borderId="1" xfId="53" applyFont="1" applyFill="1" applyBorder="1" applyAlignment="1">
      <alignment horizontal="center" vertical="center" wrapText="1"/>
    </xf>
    <xf numFmtId="0" fontId="13" fillId="0" borderId="3" xfId="53" applyFont="1" applyFill="1" applyBorder="1" applyAlignment="1">
      <alignment horizontal="right" vertical="center" wrapText="1"/>
    </xf>
    <xf numFmtId="180" fontId="13" fillId="0" borderId="4" xfId="53" applyNumberFormat="1" applyFont="1" applyFill="1" applyBorder="1" applyAlignment="1">
      <alignment horizontal="left" vertical="center" wrapText="1"/>
    </xf>
    <xf numFmtId="179" fontId="1" fillId="0" borderId="0" xfId="53" applyNumberFormat="1" applyFont="1" applyBorder="1" applyAlignment="1">
      <alignment vertical="center" wrapText="1"/>
    </xf>
    <xf numFmtId="0" fontId="13" fillId="0" borderId="1" xfId="53" applyNumberFormat="1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2" fillId="0" borderId="1" xfId="53" applyFont="1" applyBorder="1" applyAlignment="1">
      <alignment horizontal="left" vertical="center" wrapText="1"/>
    </xf>
    <xf numFmtId="0" fontId="13" fillId="0" borderId="1" xfId="53" applyFont="1" applyBorder="1" applyAlignment="1">
      <alignment horizontal="center" vertical="center" wrapText="1"/>
    </xf>
    <xf numFmtId="0" fontId="12" fillId="0" borderId="3" xfId="53" applyFont="1" applyBorder="1" applyAlignment="1">
      <alignment vertical="center" wrapText="1"/>
    </xf>
    <xf numFmtId="0" fontId="12" fillId="0" borderId="4" xfId="53" applyFont="1" applyBorder="1" applyAlignment="1">
      <alignment horizontal="center" vertical="center" wrapText="1"/>
    </xf>
    <xf numFmtId="0" fontId="12" fillId="0" borderId="5" xfId="53" applyFont="1" applyBorder="1" applyAlignment="1">
      <alignment horizontal="left" vertical="center" wrapText="1"/>
    </xf>
    <xf numFmtId="0" fontId="12" fillId="0" borderId="0" xfId="53" applyFont="1" applyBorder="1" applyAlignment="1">
      <alignment horizontal="left" vertical="center" wrapText="1"/>
    </xf>
    <xf numFmtId="0" fontId="1" fillId="0" borderId="6" xfId="53" applyFont="1" applyBorder="1" applyAlignment="1">
      <alignment vertical="center"/>
    </xf>
    <xf numFmtId="0" fontId="12" fillId="0" borderId="5" xfId="53" applyFont="1" applyBorder="1" applyAlignment="1">
      <alignment vertical="center" wrapText="1"/>
    </xf>
    <xf numFmtId="0" fontId="16" fillId="0" borderId="0" xfId="53" applyFont="1" applyBorder="1" applyAlignment="1">
      <alignment horizontal="center" vertical="center" wrapText="1"/>
    </xf>
    <xf numFmtId="0" fontId="16" fillId="0" borderId="6" xfId="53" applyFont="1" applyBorder="1" applyAlignment="1">
      <alignment horizontal="center" vertical="center" wrapText="1"/>
    </xf>
    <xf numFmtId="0" fontId="1" fillId="0" borderId="7" xfId="53" applyFont="1" applyBorder="1">
      <alignment vertical="center"/>
    </xf>
    <xf numFmtId="0" fontId="1" fillId="0" borderId="8" xfId="53" applyFont="1" applyBorder="1">
      <alignment vertical="center"/>
    </xf>
    <xf numFmtId="0" fontId="1" fillId="0" borderId="9" xfId="53" applyFont="1" applyBorder="1" applyAlignment="1">
      <alignment horizontal="center" vertical="center"/>
    </xf>
    <xf numFmtId="0" fontId="1" fillId="0" borderId="10" xfId="53" applyFont="1" applyBorder="1" applyAlignment="1">
      <alignment horizontal="center" vertical="center"/>
    </xf>
    <xf numFmtId="0" fontId="1" fillId="0" borderId="0" xfId="53" applyFont="1" applyBorder="1" applyAlignment="1">
      <alignment horizontal="center" vertical="center"/>
    </xf>
    <xf numFmtId="0" fontId="1" fillId="0" borderId="6" xfId="53" applyFont="1" applyBorder="1" applyAlignment="1">
      <alignment horizontal="center" vertical="center"/>
    </xf>
    <xf numFmtId="0" fontId="12" fillId="0" borderId="1" xfId="53" applyFont="1" applyBorder="1" applyAlignment="1">
      <alignment horizontal="left" vertical="top" wrapText="1"/>
    </xf>
    <xf numFmtId="0" fontId="12" fillId="0" borderId="3" xfId="53" applyFont="1" applyBorder="1" applyAlignment="1">
      <alignment vertical="top" wrapText="1"/>
    </xf>
    <xf numFmtId="0" fontId="12" fillId="0" borderId="11" xfId="53" applyFont="1" applyBorder="1" applyAlignment="1">
      <alignment vertical="top" wrapText="1"/>
    </xf>
    <xf numFmtId="0" fontId="12" fillId="0" borderId="4" xfId="53" applyFont="1" applyBorder="1" applyAlignment="1">
      <alignment vertical="top" wrapText="1"/>
    </xf>
    <xf numFmtId="0" fontId="12" fillId="0" borderId="5" xfId="53" applyFont="1" applyBorder="1" applyAlignment="1">
      <alignment horizontal="left" vertical="top" wrapText="1"/>
    </xf>
    <xf numFmtId="0" fontId="12" fillId="0" borderId="12" xfId="53" applyFont="1" applyBorder="1" applyAlignment="1">
      <alignment horizontal="left" vertical="top" wrapText="1"/>
    </xf>
    <xf numFmtId="0" fontId="1" fillId="0" borderId="13" xfId="53" applyFont="1" applyBorder="1">
      <alignment vertical="center"/>
    </xf>
    <xf numFmtId="0" fontId="12" fillId="0" borderId="5" xfId="53" applyFont="1" applyBorder="1" applyAlignment="1">
      <alignment vertical="top" wrapText="1"/>
    </xf>
    <xf numFmtId="0" fontId="1" fillId="0" borderId="12" xfId="53" applyFont="1" applyBorder="1" applyAlignment="1">
      <alignment horizontal="center" vertical="center"/>
    </xf>
    <xf numFmtId="0" fontId="1" fillId="0" borderId="13" xfId="53" applyFont="1" applyBorder="1" applyAlignment="1">
      <alignment horizontal="center" vertical="center"/>
    </xf>
    <xf numFmtId="0" fontId="12" fillId="0" borderId="10" xfId="53" applyFont="1" applyBorder="1" applyAlignment="1">
      <alignment horizontal="left" vertical="top" wrapText="1"/>
    </xf>
    <xf numFmtId="0" fontId="12" fillId="0" borderId="0" xfId="53" applyFont="1" applyBorder="1" applyAlignment="1">
      <alignment horizontal="left" vertical="top" wrapText="1"/>
    </xf>
    <xf numFmtId="0" fontId="1" fillId="0" borderId="6" xfId="53" applyFont="1" applyBorder="1">
      <alignment vertical="center"/>
    </xf>
    <xf numFmtId="0" fontId="12" fillId="0" borderId="10" xfId="53" applyFont="1" applyBorder="1" applyAlignment="1">
      <alignment vertical="top" wrapText="1"/>
    </xf>
    <xf numFmtId="0" fontId="12" fillId="0" borderId="10" xfId="53" applyFont="1" applyBorder="1" applyAlignment="1">
      <alignment horizontal="left" wrapText="1"/>
    </xf>
    <xf numFmtId="0" fontId="17" fillId="0" borderId="0" xfId="53" applyFont="1" applyBorder="1" applyAlignment="1">
      <alignment horizontal="left" wrapText="1"/>
    </xf>
    <xf numFmtId="0" fontId="17" fillId="0" borderId="6" xfId="53" applyFont="1" applyBorder="1" applyAlignment="1">
      <alignment horizontal="left" wrapText="1"/>
    </xf>
    <xf numFmtId="0" fontId="1" fillId="0" borderId="0" xfId="53" applyFont="1" applyAlignment="1"/>
    <xf numFmtId="0" fontId="12" fillId="0" borderId="0" xfId="53" applyFont="1" applyBorder="1" applyAlignment="1">
      <alignment horizontal="left" wrapText="1"/>
    </xf>
    <xf numFmtId="0" fontId="12" fillId="0" borderId="10" xfId="53" applyFont="1" applyBorder="1" applyAlignment="1">
      <alignment vertical="center" wrapText="1"/>
    </xf>
    <xf numFmtId="176" fontId="13" fillId="0" borderId="0" xfId="53" applyNumberFormat="1" applyFont="1" applyBorder="1" applyAlignment="1">
      <alignment horizontal="left" vertical="center" wrapText="1"/>
    </xf>
    <xf numFmtId="176" fontId="13" fillId="0" borderId="6" xfId="53" applyNumberFormat="1" applyFont="1" applyBorder="1" applyAlignment="1">
      <alignment horizontal="left" vertical="center" wrapText="1"/>
    </xf>
    <xf numFmtId="0" fontId="12" fillId="0" borderId="6" xfId="53" applyFont="1" applyBorder="1" applyAlignment="1">
      <alignment vertical="center" wrapText="1"/>
    </xf>
    <xf numFmtId="178" fontId="11" fillId="0" borderId="0" xfId="53" applyNumberFormat="1" applyFont="1" applyBorder="1" applyAlignment="1">
      <alignment horizontal="right" vertical="center"/>
    </xf>
    <xf numFmtId="178" fontId="11" fillId="0" borderId="6" xfId="53" applyNumberFormat="1" applyFont="1" applyBorder="1" applyAlignment="1">
      <alignment horizontal="right" vertical="center" indent="1"/>
    </xf>
    <xf numFmtId="178" fontId="11" fillId="0" borderId="0" xfId="53" applyNumberFormat="1" applyFont="1" applyAlignment="1">
      <alignment vertical="center"/>
    </xf>
    <xf numFmtId="0" fontId="11" fillId="0" borderId="10" xfId="53" applyFont="1" applyBorder="1">
      <alignment vertical="center"/>
    </xf>
    <xf numFmtId="178" fontId="11" fillId="0" borderId="0" xfId="53" applyNumberFormat="1" applyFont="1" applyAlignment="1">
      <alignment horizontal="right" vertical="center" indent="1"/>
    </xf>
    <xf numFmtId="0" fontId="12" fillId="0" borderId="7" xfId="53" applyFont="1" applyBorder="1" applyAlignment="1">
      <alignment horizontal="left" vertical="top" wrapText="1"/>
    </xf>
    <xf numFmtId="0" fontId="12" fillId="0" borderId="8" xfId="53" applyFont="1" applyBorder="1" applyAlignment="1">
      <alignment horizontal="left" vertical="top" wrapText="1"/>
    </xf>
    <xf numFmtId="0" fontId="1" fillId="0" borderId="9" xfId="53" applyFont="1" applyBorder="1">
      <alignment vertical="center"/>
    </xf>
    <xf numFmtId="0" fontId="12" fillId="0" borderId="7" xfId="53" applyFont="1" applyBorder="1" applyAlignment="1">
      <alignment vertical="top" wrapText="1"/>
    </xf>
    <xf numFmtId="181" fontId="11" fillId="0" borderId="9" xfId="53" applyNumberFormat="1" applyFont="1" applyBorder="1" applyAlignment="1">
      <alignment vertical="center"/>
    </xf>
    <xf numFmtId="0" fontId="11" fillId="0" borderId="0" xfId="53" applyFont="1" applyAlignment="1">
      <alignment vertical="center"/>
    </xf>
    <xf numFmtId="0" fontId="11" fillId="0" borderId="0" xfId="53" applyFont="1" applyAlignment="1">
      <alignment horizontal="center" vertical="center"/>
    </xf>
    <xf numFmtId="0" fontId="16" fillId="0" borderId="0" xfId="53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8" xfId="0" applyBorder="1" applyAlignment="1" applyProtection="1">
      <alignment horizontal="left" vertical="center"/>
      <protection locked="0"/>
    </xf>
    <xf numFmtId="0" fontId="0" fillId="0" borderId="0" xfId="0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2" fillId="0" borderId="0" xfId="0" applyFont="1"/>
    <xf numFmtId="0" fontId="23" fillId="0" borderId="0" xfId="0" applyFont="1" applyAlignment="1" applyProtection="1">
      <alignment horizontal="center" vertical="center"/>
    </xf>
    <xf numFmtId="0" fontId="22" fillId="0" borderId="0" xfId="0" applyFont="1" applyAlignment="1" applyProtection="1">
      <alignment horizontal="center"/>
    </xf>
    <xf numFmtId="0" fontId="22" fillId="0" borderId="0" xfId="0" applyFont="1" applyBorder="1" applyAlignment="1" applyProtection="1">
      <alignment horizontal="left"/>
    </xf>
    <xf numFmtId="0" fontId="22" fillId="0" borderId="0" xfId="0" applyFont="1" applyAlignment="1" applyProtection="1">
      <alignment horizontal="left"/>
    </xf>
    <xf numFmtId="0" fontId="24" fillId="0" borderId="0" xfId="0" applyFont="1" applyAlignment="1" applyProtection="1">
      <alignment horizontal="left"/>
    </xf>
    <xf numFmtId="0" fontId="22" fillId="0" borderId="0" xfId="0" applyFont="1" applyProtection="1"/>
    <xf numFmtId="0" fontId="22" fillId="0" borderId="0" xfId="0" applyFont="1" applyAlignment="1" applyProtection="1">
      <alignment horizontal="left" shrinkToFit="1"/>
    </xf>
    <xf numFmtId="0" fontId="22" fillId="0" borderId="0" xfId="0" applyFont="1" applyAlignment="1" applyProtection="1">
      <alignment horizontal="center" vertical="center"/>
    </xf>
    <xf numFmtId="0" fontId="22" fillId="0" borderId="0" xfId="0" applyFont="1" applyAlignment="1" applyProtection="1">
      <alignment vertical="center"/>
    </xf>
    <xf numFmtId="0" fontId="22" fillId="0" borderId="0" xfId="0" applyFont="1" applyAlignment="1" applyProtection="1"/>
    <xf numFmtId="180" fontId="22" fillId="0" borderId="0" xfId="0" applyNumberFormat="1" applyFont="1" applyAlignment="1" applyProtection="1">
      <alignment horizontal="left"/>
    </xf>
    <xf numFmtId="4" fontId="22" fillId="0" borderId="0" xfId="0" applyNumberFormat="1" applyFont="1" applyAlignment="1" applyProtection="1">
      <alignment horizontal="left"/>
    </xf>
    <xf numFmtId="0" fontId="22" fillId="0" borderId="0" xfId="0" applyFont="1" applyAlignment="1" applyProtection="1">
      <alignment horizontal="left" wrapText="1"/>
    </xf>
    <xf numFmtId="182" fontId="25" fillId="0" borderId="0" xfId="0" applyNumberFormat="1" applyFont="1" applyAlignment="1" applyProtection="1">
      <alignment horizontal="center" vertical="center"/>
    </xf>
    <xf numFmtId="0" fontId="26" fillId="0" borderId="0" xfId="0" applyFont="1" applyProtection="1"/>
    <xf numFmtId="0" fontId="26" fillId="0" borderId="0" xfId="0" applyFont="1" applyAlignment="1" applyProtection="1">
      <alignment horizontal="left" vertical="center" indent="1"/>
    </xf>
    <xf numFmtId="0" fontId="26" fillId="0" borderId="0" xfId="0" applyFont="1" applyAlignment="1" applyProtection="1">
      <alignment vertical="center"/>
    </xf>
    <xf numFmtId="0" fontId="27" fillId="0" borderId="0" xfId="0" applyFont="1"/>
    <xf numFmtId="0" fontId="0" fillId="0" borderId="0" xfId="0" applyProtection="1"/>
    <xf numFmtId="0" fontId="27" fillId="0" borderId="0" xfId="0" applyFont="1" applyAlignment="1" applyProtection="1">
      <alignment vertical="center"/>
    </xf>
    <xf numFmtId="0" fontId="28" fillId="0" borderId="0" xfId="0" applyFont="1" applyAlignment="1" applyProtection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top"/>
    </xf>
    <xf numFmtId="0" fontId="29" fillId="0" borderId="0" xfId="0" applyFont="1" applyAlignment="1">
      <alignment vertical="center"/>
    </xf>
    <xf numFmtId="0" fontId="30" fillId="0" borderId="0" xfId="0" applyFont="1" applyFill="1" applyBorder="1" applyAlignment="1">
      <alignment vertical="center"/>
    </xf>
    <xf numFmtId="0" fontId="30" fillId="0" borderId="0" xfId="0" applyFont="1" applyFill="1" applyBorder="1" applyAlignment="1">
      <alignment horizontal="center" vertical="center"/>
    </xf>
    <xf numFmtId="0" fontId="31" fillId="0" borderId="0" xfId="52" applyFont="1" applyFill="1" applyAlignment="1" applyProtection="1">
      <alignment horizontal="center" vertical="center"/>
    </xf>
    <xf numFmtId="0" fontId="32" fillId="0" borderId="0" xfId="0" applyFont="1" applyFill="1" applyAlignment="1">
      <alignment horizontal="center" vertical="center"/>
    </xf>
    <xf numFmtId="0" fontId="33" fillId="0" borderId="0" xfId="51" applyFont="1" applyFill="1" applyAlignment="1" applyProtection="1">
      <alignment horizontal="center" vertical="center"/>
    </xf>
    <xf numFmtId="0" fontId="34" fillId="0" borderId="0" xfId="51" applyFont="1" applyFill="1" applyAlignment="1" applyProtection="1">
      <alignment horizontal="left"/>
    </xf>
    <xf numFmtId="0" fontId="35" fillId="0" borderId="8" xfId="51" applyFont="1" applyFill="1" applyBorder="1" applyAlignment="1" applyProtection="1">
      <alignment horizontal="left" wrapText="1"/>
    </xf>
    <xf numFmtId="14" fontId="34" fillId="0" borderId="0" xfId="51" applyNumberFormat="1" applyFont="1" applyFill="1" applyBorder="1" applyAlignment="1" applyProtection="1">
      <alignment horizontal="left"/>
    </xf>
    <xf numFmtId="14" fontId="34" fillId="0" borderId="0" xfId="51" applyNumberFormat="1" applyFont="1" applyFill="1" applyBorder="1" applyAlignment="1" applyProtection="1">
      <alignment horizontal="right"/>
    </xf>
    <xf numFmtId="14" fontId="36" fillId="0" borderId="0" xfId="51" applyNumberFormat="1" applyFont="1" applyFill="1" applyAlignment="1" applyProtection="1">
      <alignment horizontal="center" vertical="center" wrapText="1"/>
    </xf>
    <xf numFmtId="0" fontId="29" fillId="0" borderId="0" xfId="0" applyFont="1" applyAlignment="1">
      <alignment horizontal="left" vertical="center"/>
    </xf>
    <xf numFmtId="0" fontId="34" fillId="0" borderId="8" xfId="51" applyFont="1" applyFill="1" applyBorder="1" applyAlignment="1" applyProtection="1">
      <alignment horizontal="left" wrapText="1"/>
    </xf>
    <xf numFmtId="14" fontId="34" fillId="0" borderId="0" xfId="51" applyNumberFormat="1" applyFont="1" applyFill="1" applyBorder="1" applyAlignment="1" applyProtection="1">
      <alignment horizontal="right" vertical="top"/>
    </xf>
    <xf numFmtId="14" fontId="36" fillId="0" borderId="8" xfId="51" applyNumberFormat="1" applyFont="1" applyFill="1" applyBorder="1" applyAlignment="1" applyProtection="1">
      <alignment horizontal="center" vertical="center" wrapText="1"/>
    </xf>
    <xf numFmtId="0" fontId="34" fillId="0" borderId="0" xfId="51" applyFont="1" applyFill="1" applyBorder="1" applyAlignment="1" applyProtection="1">
      <alignment horizontal="center" wrapText="1"/>
    </xf>
    <xf numFmtId="0" fontId="37" fillId="0" borderId="8" xfId="0" applyFont="1" applyBorder="1" applyAlignment="1">
      <alignment horizontal="left" vertical="center"/>
    </xf>
    <xf numFmtId="0" fontId="34" fillId="0" borderId="0" xfId="51" applyFont="1" applyFill="1" applyAlignment="1" applyProtection="1"/>
    <xf numFmtId="0" fontId="34" fillId="0" borderId="0" xfId="51" applyFont="1" applyFill="1" applyAlignment="1" applyProtection="1">
      <alignment horizontal="right" vertical="top"/>
    </xf>
    <xf numFmtId="0" fontId="38" fillId="0" borderId="12" xfId="51" applyFont="1" applyFill="1" applyBorder="1" applyAlignment="1" applyProtection="1">
      <alignment horizontal="left" wrapText="1"/>
    </xf>
    <xf numFmtId="0" fontId="38" fillId="0" borderId="8" xfId="51" applyFont="1" applyFill="1" applyBorder="1" applyAlignment="1" applyProtection="1">
      <alignment horizontal="left" wrapText="1"/>
    </xf>
    <xf numFmtId="14" fontId="34" fillId="0" borderId="0" xfId="51" applyNumberFormat="1" applyFont="1" applyFill="1" applyBorder="1" applyAlignment="1" applyProtection="1">
      <alignment horizontal="center" wrapText="1"/>
    </xf>
    <xf numFmtId="0" fontId="34" fillId="0" borderId="0" xfId="51" applyFont="1" applyFill="1" applyAlignment="1" applyProtection="1">
      <alignment horizontal="center"/>
    </xf>
    <xf numFmtId="0" fontId="34" fillId="0" borderId="0" xfId="51" applyFont="1" applyFill="1" applyBorder="1" applyAlignment="1" applyProtection="1"/>
    <xf numFmtId="0" fontId="34" fillId="0" borderId="0" xfId="51" applyFont="1" applyFill="1" applyBorder="1" applyAlignment="1" applyProtection="1">
      <alignment wrapText="1"/>
    </xf>
    <xf numFmtId="0" fontId="35" fillId="0" borderId="0" xfId="51" applyFont="1" applyFill="1" applyBorder="1" applyAlignment="1" applyProtection="1">
      <alignment wrapText="1"/>
    </xf>
    <xf numFmtId="0" fontId="35" fillId="0" borderId="0" xfId="51" applyFont="1" applyFill="1" applyAlignment="1" applyProtection="1">
      <alignment horizontal="center" wrapText="1"/>
    </xf>
    <xf numFmtId="0" fontId="34" fillId="0" borderId="0" xfId="51" applyFont="1" applyFill="1" applyAlignment="1" applyProtection="1">
      <alignment horizontal="left" vertical="top"/>
    </xf>
    <xf numFmtId="0" fontId="34" fillId="0" borderId="0" xfId="51" applyFont="1" applyFill="1" applyAlignment="1" applyProtection="1">
      <alignment vertical="top" wrapText="1"/>
    </xf>
    <xf numFmtId="0" fontId="34" fillId="0" borderId="0" xfId="51" applyFont="1" applyFill="1" applyBorder="1" applyAlignment="1" applyProtection="1">
      <alignment horizontal="center" vertical="top" wrapText="1"/>
    </xf>
    <xf numFmtId="0" fontId="34" fillId="0" borderId="0" xfId="51" applyFont="1" applyFill="1" applyBorder="1" applyAlignment="1" applyProtection="1">
      <alignment vertical="top" wrapText="1"/>
    </xf>
    <xf numFmtId="0" fontId="34" fillId="0" borderId="0" xfId="0" applyFont="1" applyFill="1" applyBorder="1" applyAlignment="1">
      <alignment vertical="top"/>
    </xf>
    <xf numFmtId="0" fontId="34" fillId="0" borderId="0" xfId="51" applyFont="1" applyFill="1" applyBorder="1" applyAlignment="1" applyProtection="1">
      <alignment horizontal="right" vertical="top"/>
    </xf>
    <xf numFmtId="0" fontId="39" fillId="0" borderId="0" xfId="51" applyFont="1" applyFill="1" applyBorder="1" applyAlignment="1" applyProtection="1">
      <alignment horizontal="center" vertical="top" wrapText="1"/>
    </xf>
    <xf numFmtId="0" fontId="34" fillId="0" borderId="0" xfId="51" applyFont="1" applyFill="1" applyAlignment="1" applyProtection="1">
      <alignment horizontal="center" vertical="center" wrapText="1"/>
    </xf>
    <xf numFmtId="0" fontId="34" fillId="0" borderId="0" xfId="51" applyFont="1" applyFill="1" applyAlignment="1" applyProtection="1">
      <alignment vertical="center" wrapText="1"/>
    </xf>
    <xf numFmtId="0" fontId="34" fillId="0" borderId="0" xfId="0" applyFont="1" applyFill="1" applyAlignment="1">
      <alignment vertical="center"/>
    </xf>
    <xf numFmtId="0" fontId="34" fillId="0" borderId="0" xfId="51" applyFont="1" applyFill="1" applyBorder="1" applyAlignment="1" applyProtection="1">
      <alignment horizontal="right" vertical="center"/>
    </xf>
    <xf numFmtId="0" fontId="34" fillId="0" borderId="0" xfId="51" applyFont="1" applyFill="1" applyAlignment="1" applyProtection="1">
      <alignment horizontal="right" vertical="center"/>
    </xf>
    <xf numFmtId="0" fontId="39" fillId="0" borderId="0" xfId="51" applyFont="1" applyFill="1" applyAlignment="1" applyProtection="1">
      <alignment horizontal="center" vertical="center" wrapText="1"/>
    </xf>
    <xf numFmtId="0" fontId="34" fillId="0" borderId="14" xfId="51" applyFont="1" applyFill="1" applyBorder="1" applyAlignment="1" applyProtection="1">
      <alignment horizontal="center" vertical="center" wrapText="1"/>
    </xf>
    <xf numFmtId="0" fontId="34" fillId="0" borderId="19" xfId="51" applyFont="1" applyFill="1" applyBorder="1" applyAlignment="1" applyProtection="1">
      <alignment horizontal="center" vertical="center" wrapText="1"/>
    </xf>
    <xf numFmtId="0" fontId="34" fillId="0" borderId="20" xfId="51" applyFont="1" applyFill="1" applyBorder="1" applyAlignment="1" applyProtection="1">
      <alignment horizontal="center" vertical="center" wrapText="1"/>
    </xf>
    <xf numFmtId="0" fontId="34" fillId="0" borderId="21" xfId="51" applyFont="1" applyFill="1" applyBorder="1" applyAlignment="1" applyProtection="1">
      <alignment horizontal="center" vertical="center" wrapText="1"/>
    </xf>
    <xf numFmtId="0" fontId="34" fillId="0" borderId="15" xfId="51" applyFont="1" applyFill="1" applyBorder="1" applyAlignment="1" applyProtection="1">
      <alignment horizontal="center" vertical="center" wrapText="1"/>
    </xf>
    <xf numFmtId="0" fontId="34" fillId="0" borderId="22" xfId="51" applyFont="1" applyFill="1" applyBorder="1" applyAlignment="1" applyProtection="1">
      <alignment horizontal="center" vertical="center" wrapText="1"/>
    </xf>
    <xf numFmtId="0" fontId="34" fillId="0" borderId="23" xfId="51" applyFont="1" applyFill="1" applyBorder="1" applyAlignment="1" applyProtection="1">
      <alignment horizontal="center" vertical="center" wrapText="1"/>
    </xf>
    <xf numFmtId="0" fontId="34" fillId="0" borderId="10" xfId="51" applyFont="1" applyFill="1" applyBorder="1" applyAlignment="1" applyProtection="1">
      <alignment horizontal="center" vertical="center" wrapText="1"/>
    </xf>
    <xf numFmtId="0" fontId="34" fillId="0" borderId="0" xfId="51" applyFont="1" applyFill="1" applyBorder="1" applyAlignment="1" applyProtection="1">
      <alignment horizontal="center" vertical="center" wrapText="1"/>
    </xf>
    <xf numFmtId="0" fontId="34" fillId="0" borderId="6" xfId="51" applyFont="1" applyFill="1" applyBorder="1" applyAlignment="1" applyProtection="1">
      <alignment horizontal="center" vertical="center" wrapText="1"/>
    </xf>
    <xf numFmtId="0" fontId="34" fillId="0" borderId="24" xfId="51" applyFont="1" applyFill="1" applyBorder="1" applyAlignment="1" applyProtection="1">
      <alignment horizontal="center" vertical="center" wrapText="1"/>
    </xf>
    <xf numFmtId="0" fontId="34" fillId="0" borderId="25" xfId="51" applyFont="1" applyFill="1" applyBorder="1" applyAlignment="1" applyProtection="1">
      <alignment horizontal="center" vertical="center" wrapText="1"/>
    </xf>
    <xf numFmtId="0" fontId="40" fillId="0" borderId="26" xfId="51" applyFont="1" applyFill="1" applyBorder="1" applyAlignment="1" applyProtection="1">
      <alignment horizontal="center" vertical="center"/>
    </xf>
    <xf numFmtId="0" fontId="40" fillId="0" borderId="27" xfId="51" applyFont="1" applyFill="1" applyBorder="1" applyAlignment="1" applyProtection="1">
      <alignment horizontal="center" vertical="center" shrinkToFit="1"/>
    </xf>
    <xf numFmtId="0" fontId="40" fillId="0" borderId="27" xfId="51" applyFont="1" applyFill="1" applyBorder="1" applyAlignment="1" applyProtection="1">
      <alignment vertical="center" shrinkToFit="1"/>
    </xf>
    <xf numFmtId="180" fontId="40" fillId="0" borderId="27" xfId="51" applyNumberFormat="1" applyFont="1" applyFill="1" applyBorder="1" applyAlignment="1">
      <alignment horizontal="center" vertical="center" shrinkToFit="1"/>
    </xf>
    <xf numFmtId="180" fontId="40" fillId="0" borderId="19" xfId="51" applyNumberFormat="1" applyFont="1" applyFill="1" applyBorder="1" applyAlignment="1">
      <alignment horizontal="right" vertical="center" shrinkToFit="1"/>
    </xf>
    <xf numFmtId="180" fontId="40" fillId="0" borderId="22" xfId="51" applyNumberFormat="1" applyFont="1" applyFill="1" applyBorder="1" applyAlignment="1">
      <alignment horizontal="center" vertical="center" shrinkToFit="1"/>
    </xf>
    <xf numFmtId="0" fontId="40" fillId="0" borderId="28" xfId="51" applyFont="1" applyFill="1" applyBorder="1" applyAlignment="1" applyProtection="1">
      <alignment horizontal="center" vertical="center"/>
    </xf>
    <xf numFmtId="0" fontId="40" fillId="0" borderId="29" xfId="51" applyFont="1" applyFill="1" applyBorder="1" applyAlignment="1" applyProtection="1">
      <alignment horizontal="center" vertical="center" shrinkToFit="1"/>
    </xf>
    <xf numFmtId="0" fontId="40" fillId="0" borderId="29" xfId="51" applyFont="1" applyFill="1" applyBorder="1" applyAlignment="1" applyProtection="1">
      <alignment vertical="center" shrinkToFit="1"/>
    </xf>
    <xf numFmtId="180" fontId="40" fillId="0" borderId="29" xfId="51" applyNumberFormat="1" applyFont="1" applyFill="1" applyBorder="1" applyAlignment="1">
      <alignment horizontal="center" vertical="center" shrinkToFit="1"/>
    </xf>
    <xf numFmtId="180" fontId="40" fillId="0" borderId="30" xfId="51" applyNumberFormat="1" applyFont="1" applyFill="1" applyBorder="1" applyAlignment="1">
      <alignment horizontal="right" vertical="center" shrinkToFit="1"/>
    </xf>
    <xf numFmtId="180" fontId="40" fillId="0" borderId="31" xfId="51" applyNumberFormat="1" applyFont="1" applyFill="1" applyBorder="1" applyAlignment="1">
      <alignment horizontal="center" vertical="center" shrinkToFit="1"/>
    </xf>
    <xf numFmtId="180" fontId="40" fillId="0" borderId="32" xfId="51" applyNumberFormat="1" applyFont="1" applyFill="1" applyBorder="1" applyAlignment="1">
      <alignment horizontal="center" vertical="center" shrinkToFit="1"/>
    </xf>
    <xf numFmtId="180" fontId="40" fillId="0" borderId="33" xfId="51" applyNumberFormat="1" applyFont="1" applyFill="1" applyBorder="1" applyAlignment="1">
      <alignment horizontal="right" vertical="center" shrinkToFit="1"/>
    </xf>
    <xf numFmtId="180" fontId="40" fillId="0" borderId="33" xfId="51" applyNumberFormat="1" applyFont="1" applyFill="1" applyBorder="1" applyAlignment="1">
      <alignment horizontal="center" vertical="center" shrinkToFit="1"/>
    </xf>
    <xf numFmtId="180" fontId="40" fillId="0" borderId="34" xfId="51" applyNumberFormat="1" applyFont="1" applyFill="1" applyBorder="1" applyAlignment="1">
      <alignment horizontal="right" vertical="center" shrinkToFit="1"/>
    </xf>
    <xf numFmtId="180" fontId="40" fillId="0" borderId="25" xfId="51" applyNumberFormat="1" applyFont="1" applyFill="1" applyBorder="1" applyAlignment="1">
      <alignment horizontal="center" vertical="center" shrinkToFit="1"/>
    </xf>
    <xf numFmtId="180" fontId="40" fillId="0" borderId="32" xfId="51" applyNumberFormat="1" applyFont="1" applyFill="1" applyBorder="1" applyAlignment="1">
      <alignment horizontal="right" vertical="center" shrinkToFit="1"/>
    </xf>
    <xf numFmtId="180" fontId="40" fillId="0" borderId="35" xfId="51" applyNumberFormat="1" applyFont="1" applyFill="1" applyBorder="1" applyAlignment="1">
      <alignment horizontal="center" vertical="center" shrinkToFit="1"/>
    </xf>
    <xf numFmtId="180" fontId="40" fillId="0" borderId="10" xfId="51" applyNumberFormat="1" applyFont="1" applyFill="1" applyBorder="1" applyAlignment="1">
      <alignment horizontal="right" vertical="center" shrinkToFit="1"/>
    </xf>
    <xf numFmtId="180" fontId="40" fillId="0" borderId="36" xfId="51" applyNumberFormat="1" applyFont="1" applyFill="1" applyBorder="1" applyAlignment="1">
      <alignment horizontal="center" vertical="center" shrinkToFit="1"/>
    </xf>
    <xf numFmtId="180" fontId="40" fillId="0" borderId="37" xfId="51" applyNumberFormat="1" applyFont="1" applyFill="1" applyBorder="1" applyAlignment="1">
      <alignment horizontal="right" vertical="center" shrinkToFit="1"/>
    </xf>
    <xf numFmtId="180" fontId="40" fillId="0" borderId="38" xfId="51" applyNumberFormat="1" applyFont="1" applyFill="1" applyBorder="1" applyAlignment="1">
      <alignment horizontal="right" vertical="center" shrinkToFit="1"/>
    </xf>
    <xf numFmtId="180" fontId="40" fillId="0" borderId="39" xfId="51" applyNumberFormat="1" applyFont="1" applyFill="1" applyBorder="1" applyAlignment="1">
      <alignment horizontal="right" vertical="center" shrinkToFit="1"/>
    </xf>
    <xf numFmtId="180" fontId="41" fillId="0" borderId="14" xfId="51" applyNumberFormat="1" applyFont="1" applyFill="1" applyBorder="1" applyAlignment="1" applyProtection="1">
      <alignment horizontal="right" vertical="center" indent="1" shrinkToFit="1"/>
    </xf>
    <xf numFmtId="180" fontId="41" fillId="0" borderId="15" xfId="51" applyNumberFormat="1" applyFont="1" applyFill="1" applyBorder="1" applyAlignment="1" applyProtection="1">
      <alignment horizontal="right" vertical="center" indent="1" shrinkToFit="1"/>
    </xf>
    <xf numFmtId="180" fontId="41" fillId="0" borderId="40" xfId="51" applyNumberFormat="1" applyFont="1" applyFill="1" applyBorder="1" applyAlignment="1" applyProtection="1">
      <alignment horizontal="right" vertical="center" indent="1" shrinkToFit="1"/>
    </xf>
    <xf numFmtId="180" fontId="41" fillId="0" borderId="19" xfId="51" applyNumberFormat="1" applyFont="1" applyFill="1" applyBorder="1" applyAlignment="1" applyProtection="1">
      <alignment horizontal="right" vertical="center" shrinkToFit="1"/>
    </xf>
    <xf numFmtId="180" fontId="41" fillId="0" borderId="41" xfId="51" applyNumberFormat="1" applyFont="1" applyFill="1" applyBorder="1" applyAlignment="1">
      <alignment horizontal="center" vertical="center" shrinkToFit="1"/>
    </xf>
    <xf numFmtId="180" fontId="41" fillId="0" borderId="42" xfId="51" applyNumberFormat="1" applyFont="1" applyFill="1" applyBorder="1" applyAlignment="1" applyProtection="1">
      <alignment horizontal="right" vertical="center" indent="1" shrinkToFit="1"/>
    </xf>
    <xf numFmtId="180" fontId="41" fillId="0" borderId="43" xfId="51" applyNumberFormat="1" applyFont="1" applyFill="1" applyBorder="1" applyAlignment="1" applyProtection="1">
      <alignment horizontal="right" vertical="center" indent="1" shrinkToFit="1"/>
    </xf>
    <xf numFmtId="180" fontId="41" fillId="0" borderId="44" xfId="51" applyNumberFormat="1" applyFont="1" applyFill="1" applyBorder="1" applyAlignment="1" applyProtection="1">
      <alignment horizontal="right" vertical="center" indent="1" shrinkToFit="1"/>
    </xf>
    <xf numFmtId="180" fontId="41" fillId="0" borderId="45" xfId="51" applyNumberFormat="1" applyFont="1" applyFill="1" applyBorder="1" applyAlignment="1" applyProtection="1">
      <alignment horizontal="right" vertical="center" shrinkToFit="1"/>
    </xf>
    <xf numFmtId="180" fontId="41" fillId="0" borderId="46" xfId="51" applyNumberFormat="1" applyFont="1" applyFill="1" applyBorder="1" applyAlignment="1">
      <alignment horizontal="center" vertical="center" shrinkToFit="1"/>
    </xf>
    <xf numFmtId="0" fontId="42" fillId="0" borderId="47" xfId="51" applyFont="1" applyFill="1" applyBorder="1" applyAlignment="1" applyProtection="1">
      <alignment horizontal="center" vertical="center" wrapText="1"/>
    </xf>
    <xf numFmtId="0" fontId="42" fillId="0" borderId="0" xfId="51" applyFont="1" applyFill="1" applyAlignment="1" applyProtection="1">
      <alignment horizontal="center" vertical="center" wrapText="1"/>
    </xf>
    <xf numFmtId="0" fontId="42" fillId="0" borderId="6" xfId="51" applyFont="1" applyFill="1" applyBorder="1" applyAlignment="1" applyProtection="1">
      <alignment horizontal="center" vertical="center" wrapText="1"/>
    </xf>
    <xf numFmtId="0" fontId="41" fillId="0" borderId="0" xfId="51" applyFont="1" applyFill="1" applyBorder="1" applyAlignment="1" applyProtection="1">
      <alignment horizontal="left" vertical="center" wrapText="1" indent="1"/>
    </xf>
    <xf numFmtId="0" fontId="41" fillId="0" borderId="25" xfId="51" applyFont="1" applyFill="1" applyBorder="1" applyAlignment="1" applyProtection="1">
      <alignment horizontal="center" vertical="center" wrapText="1"/>
    </xf>
    <xf numFmtId="0" fontId="42" fillId="0" borderId="48" xfId="51" applyFont="1" applyFill="1" applyBorder="1" applyAlignment="1" applyProtection="1">
      <alignment horizontal="center" vertical="center" wrapText="1"/>
    </xf>
    <xf numFmtId="0" fontId="42" fillId="0" borderId="49" xfId="51" applyFont="1" applyFill="1" applyBorder="1" applyAlignment="1" applyProtection="1">
      <alignment horizontal="center" vertical="center" wrapText="1"/>
    </xf>
    <xf numFmtId="0" fontId="42" fillId="0" borderId="50" xfId="51" applyFont="1" applyFill="1" applyBorder="1" applyAlignment="1" applyProtection="1">
      <alignment horizontal="center" vertical="center" wrapText="1"/>
    </xf>
    <xf numFmtId="0" fontId="41" fillId="0" borderId="49" xfId="51" applyFont="1" applyFill="1" applyBorder="1" applyAlignment="1" applyProtection="1">
      <alignment horizontal="left" vertical="center" wrapText="1" indent="1"/>
    </xf>
    <xf numFmtId="0" fontId="41" fillId="0" borderId="51" xfId="51" applyFont="1" applyFill="1" applyBorder="1" applyAlignment="1" applyProtection="1">
      <alignment horizontal="center" vertical="center" wrapText="1"/>
    </xf>
    <xf numFmtId="0" fontId="41" fillId="0" borderId="0" xfId="51" applyFont="1" applyFill="1" applyAlignment="1" applyProtection="1">
      <alignment horizontal="left" vertical="center" wrapText="1"/>
    </xf>
    <xf numFmtId="0" fontId="41" fillId="0" borderId="0" xfId="51" applyFont="1" applyFill="1" applyAlignment="1" applyProtection="1">
      <alignment horizontal="center" vertical="center" wrapText="1"/>
    </xf>
    <xf numFmtId="0" fontId="34" fillId="0" borderId="0" xfId="0" applyFont="1" applyFill="1" applyBorder="1" applyAlignment="1">
      <alignment vertical="center"/>
    </xf>
    <xf numFmtId="0" fontId="34" fillId="0" borderId="0" xfId="0" applyFont="1" applyFill="1" applyBorder="1" applyAlignment="1">
      <alignment horizontal="center" vertical="center"/>
    </xf>
    <xf numFmtId="0" fontId="36" fillId="0" borderId="0" xfId="0" applyFont="1" applyFill="1" applyAlignment="1">
      <alignment vertical="center"/>
    </xf>
    <xf numFmtId="0" fontId="36" fillId="0" borderId="0" xfId="0" applyFont="1" applyFill="1" applyBorder="1" applyAlignment="1">
      <alignment vertical="center"/>
    </xf>
    <xf numFmtId="0" fontId="43" fillId="0" borderId="0" xfId="0" applyFont="1" applyFill="1" applyAlignment="1">
      <alignment horizontal="center" vertical="center"/>
    </xf>
    <xf numFmtId="0" fontId="44" fillId="0" borderId="0" xfId="0" applyFont="1" applyFill="1" applyAlignment="1">
      <alignment horizontal="center" vertical="center" wrapText="1"/>
    </xf>
    <xf numFmtId="0" fontId="45" fillId="0" borderId="0" xfId="0" applyFont="1" applyFill="1" applyAlignment="1">
      <alignment horizontal="center" vertical="center"/>
    </xf>
    <xf numFmtId="0" fontId="35" fillId="0" borderId="0" xfId="51" applyFont="1" applyFill="1" applyAlignment="1" applyProtection="1">
      <alignment horizontal="left" wrapText="1"/>
    </xf>
    <xf numFmtId="0" fontId="34" fillId="0" borderId="0" xfId="51" applyFont="1" applyFill="1" applyAlignment="1" applyProtection="1">
      <alignment horizontal="center" wrapText="1"/>
    </xf>
    <xf numFmtId="0" fontId="34" fillId="0" borderId="0" xfId="51" applyFont="1" applyFill="1" applyAlignment="1" applyProtection="1">
      <alignment horizontal="right" wrapText="1"/>
    </xf>
    <xf numFmtId="14" fontId="35" fillId="0" borderId="8" xfId="51" applyNumberFormat="1" applyFont="1" applyFill="1" applyBorder="1" applyAlignment="1" applyProtection="1">
      <alignment horizontal="center" wrapText="1"/>
    </xf>
    <xf numFmtId="14" fontId="34" fillId="0" borderId="0" xfId="51" applyNumberFormat="1" applyFont="1" applyFill="1" applyAlignment="1" applyProtection="1">
      <alignment horizontal="center"/>
    </xf>
    <xf numFmtId="14" fontId="34" fillId="0" borderId="0" xfId="51" applyNumberFormat="1" applyFont="1" applyFill="1" applyAlignment="1" applyProtection="1">
      <alignment horizontal="right"/>
    </xf>
    <xf numFmtId="14" fontId="35" fillId="0" borderId="0" xfId="51" applyNumberFormat="1" applyFont="1" applyFill="1" applyAlignment="1" applyProtection="1">
      <alignment horizontal="center" wrapText="1"/>
    </xf>
    <xf numFmtId="0" fontId="38" fillId="0" borderId="0" xfId="51" applyFont="1" applyFill="1" applyBorder="1" applyAlignment="1" applyProtection="1">
      <alignment horizontal="left" wrapText="1"/>
    </xf>
    <xf numFmtId="14" fontId="35" fillId="0" borderId="0" xfId="51" applyNumberFormat="1" applyFont="1" applyFill="1" applyBorder="1" applyAlignment="1" applyProtection="1">
      <alignment horizontal="center" wrapText="1"/>
    </xf>
    <xf numFmtId="0" fontId="34" fillId="0" borderId="5" xfId="51" applyFont="1" applyFill="1" applyBorder="1" applyAlignment="1" applyProtection="1">
      <alignment horizontal="center" wrapText="1"/>
    </xf>
    <xf numFmtId="0" fontId="34" fillId="0" borderId="12" xfId="51" applyFont="1" applyFill="1" applyBorder="1" applyAlignment="1" applyProtection="1">
      <alignment horizontal="center" wrapText="1"/>
    </xf>
    <xf numFmtId="0" fontId="35" fillId="0" borderId="11" xfId="51" applyFont="1" applyFill="1" applyBorder="1" applyAlignment="1" applyProtection="1">
      <alignment horizontal="left" wrapText="1"/>
    </xf>
    <xf numFmtId="0" fontId="34" fillId="0" borderId="12" xfId="0" applyFont="1" applyFill="1" applyBorder="1" applyAlignment="1"/>
    <xf numFmtId="0" fontId="34" fillId="0" borderId="12" xfId="0" applyFont="1" applyFill="1" applyBorder="1" applyAlignment="1">
      <alignment horizontal="center"/>
    </xf>
    <xf numFmtId="0" fontId="34" fillId="0" borderId="12" xfId="0" applyFont="1" applyFill="1" applyBorder="1" applyAlignment="1">
      <alignment horizontal="right"/>
    </xf>
    <xf numFmtId="0" fontId="40" fillId="0" borderId="11" xfId="51" applyFont="1" applyFill="1" applyBorder="1" applyAlignment="1" applyProtection="1">
      <alignment horizontal="center" wrapText="1"/>
    </xf>
    <xf numFmtId="0" fontId="40" fillId="0" borderId="4" xfId="51" applyFont="1" applyFill="1" applyBorder="1" applyAlignment="1" applyProtection="1">
      <alignment wrapText="1"/>
    </xf>
    <xf numFmtId="0" fontId="34" fillId="0" borderId="10" xfId="51" applyFont="1" applyFill="1" applyBorder="1" applyAlignment="1" applyProtection="1">
      <alignment horizontal="left" vertical="top"/>
    </xf>
    <xf numFmtId="0" fontId="34" fillId="0" borderId="0" xfId="0" applyFont="1" applyFill="1" applyBorder="1" applyAlignment="1">
      <alignment horizontal="center" vertical="top"/>
    </xf>
    <xf numFmtId="0" fontId="39" fillId="0" borderId="6" xfId="51" applyFont="1" applyFill="1" applyBorder="1" applyAlignment="1" applyProtection="1">
      <alignment horizontal="left" vertical="top" wrapText="1"/>
    </xf>
    <xf numFmtId="0" fontId="34" fillId="0" borderId="0" xfId="0" applyFont="1" applyFill="1" applyAlignment="1">
      <alignment horizontal="center" vertical="center"/>
    </xf>
    <xf numFmtId="0" fontId="39" fillId="0" borderId="6" xfId="51" applyFont="1" applyFill="1" applyBorder="1" applyAlignment="1" applyProtection="1">
      <alignment vertical="center" wrapText="1"/>
    </xf>
    <xf numFmtId="0" fontId="34" fillId="0" borderId="1" xfId="51" applyFont="1" applyFill="1" applyBorder="1" applyAlignment="1" applyProtection="1">
      <alignment horizontal="center" vertical="center" wrapText="1"/>
    </xf>
    <xf numFmtId="0" fontId="34" fillId="0" borderId="5" xfId="51" applyFont="1" applyFill="1" applyBorder="1" applyAlignment="1" applyProtection="1">
      <alignment horizontal="center" vertical="center" wrapText="1"/>
    </xf>
    <xf numFmtId="0" fontId="34" fillId="0" borderId="12" xfId="51" applyFont="1" applyFill="1" applyBorder="1" applyAlignment="1" applyProtection="1">
      <alignment horizontal="center" vertical="center" wrapText="1"/>
    </xf>
    <xf numFmtId="0" fontId="34" fillId="0" borderId="13" xfId="51" applyFont="1" applyFill="1" applyBorder="1" applyAlignment="1" applyProtection="1">
      <alignment horizontal="center" vertical="center" wrapText="1"/>
    </xf>
    <xf numFmtId="0" fontId="40" fillId="0" borderId="1" xfId="51" applyFont="1" applyFill="1" applyBorder="1" applyAlignment="1" applyProtection="1">
      <alignment horizontal="center" vertical="center"/>
    </xf>
    <xf numFmtId="0" fontId="40" fillId="0" borderId="1" xfId="51" applyFont="1" applyFill="1" applyBorder="1" applyAlignment="1" applyProtection="1">
      <alignment horizontal="center" vertical="center" shrinkToFit="1"/>
    </xf>
    <xf numFmtId="0" fontId="40" fillId="0" borderId="1" xfId="51" applyFont="1" applyFill="1" applyBorder="1" applyAlignment="1" applyProtection="1">
      <alignment vertical="center" shrinkToFit="1"/>
    </xf>
    <xf numFmtId="180" fontId="40" fillId="0" borderId="1" xfId="51" applyNumberFormat="1" applyFont="1" applyFill="1" applyBorder="1" applyAlignment="1">
      <alignment horizontal="center" vertical="center" shrinkToFit="1"/>
    </xf>
    <xf numFmtId="180" fontId="40" fillId="0" borderId="1" xfId="51" applyNumberFormat="1" applyFont="1" applyFill="1" applyBorder="1" applyAlignment="1">
      <alignment horizontal="right" vertical="center" shrinkToFit="1"/>
    </xf>
    <xf numFmtId="180" fontId="40" fillId="0" borderId="1" xfId="51" applyNumberFormat="1" applyFont="1" applyFill="1" applyBorder="1" applyAlignment="1">
      <alignment horizontal="left" vertical="center" shrinkToFit="1"/>
    </xf>
    <xf numFmtId="0" fontId="41" fillId="0" borderId="10" xfId="51" applyFont="1" applyFill="1" applyBorder="1" applyAlignment="1" applyProtection="1">
      <alignment horizontal="center" vertical="center" wrapText="1"/>
    </xf>
    <xf numFmtId="0" fontId="41" fillId="0" borderId="0" xfId="51" applyFont="1" applyFill="1" applyBorder="1" applyAlignment="1" applyProtection="1">
      <alignment horizontal="center" vertical="center" wrapText="1"/>
    </xf>
    <xf numFmtId="0" fontId="41" fillId="0" borderId="0" xfId="51" applyFont="1" applyFill="1" applyBorder="1" applyAlignment="1" applyProtection="1">
      <alignment horizontal="left" vertical="center" wrapText="1"/>
    </xf>
    <xf numFmtId="0" fontId="40" fillId="0" borderId="0" xfId="51" applyFont="1" applyFill="1" applyBorder="1" applyAlignment="1" applyProtection="1">
      <alignment vertical="center" shrinkToFit="1"/>
    </xf>
    <xf numFmtId="180" fontId="41" fillId="0" borderId="0" xfId="51" applyNumberFormat="1" applyFont="1" applyFill="1" applyBorder="1" applyAlignment="1" applyProtection="1">
      <alignment horizontal="center" vertical="center" shrinkToFit="1"/>
    </xf>
    <xf numFmtId="180" fontId="41" fillId="0" borderId="0" xfId="51" applyNumberFormat="1" applyFont="1" applyFill="1" applyBorder="1" applyAlignment="1" applyProtection="1">
      <alignment horizontal="right" vertical="center" shrinkToFit="1"/>
    </xf>
    <xf numFmtId="180" fontId="41" fillId="0" borderId="6" xfId="51" applyNumberFormat="1" applyFont="1" applyFill="1" applyBorder="1" applyAlignment="1">
      <alignment horizontal="left" vertical="center" shrinkToFit="1"/>
    </xf>
    <xf numFmtId="0" fontId="41" fillId="0" borderId="7" xfId="51" applyFont="1" applyFill="1" applyBorder="1" applyAlignment="1" applyProtection="1">
      <alignment horizontal="center" vertical="center" wrapText="1"/>
    </xf>
    <xf numFmtId="0" fontId="41" fillId="0" borderId="8" xfId="51" applyFont="1" applyFill="1" applyBorder="1" applyAlignment="1" applyProtection="1">
      <alignment horizontal="center" vertical="center" wrapText="1"/>
    </xf>
    <xf numFmtId="0" fontId="41" fillId="0" borderId="8" xfId="51" applyFont="1" applyFill="1" applyBorder="1" applyAlignment="1" applyProtection="1">
      <alignment horizontal="left" vertical="center" wrapText="1"/>
    </xf>
    <xf numFmtId="0" fontId="40" fillId="0" borderId="8" xfId="51" applyFont="1" applyFill="1" applyBorder="1" applyAlignment="1" applyProtection="1">
      <alignment vertical="center" shrinkToFit="1"/>
    </xf>
    <xf numFmtId="180" fontId="41" fillId="0" borderId="8" xfId="51" applyNumberFormat="1" applyFont="1" applyFill="1" applyBorder="1" applyAlignment="1" applyProtection="1">
      <alignment horizontal="center" vertical="center" shrinkToFit="1"/>
    </xf>
    <xf numFmtId="180" fontId="41" fillId="0" borderId="8" xfId="51" applyNumberFormat="1" applyFont="1" applyFill="1" applyBorder="1" applyAlignment="1" applyProtection="1">
      <alignment horizontal="right" vertical="center" shrinkToFit="1"/>
    </xf>
    <xf numFmtId="180" fontId="41" fillId="0" borderId="9" xfId="51" applyNumberFormat="1" applyFont="1" applyFill="1" applyBorder="1" applyAlignment="1">
      <alignment horizontal="left" vertical="center" shrinkToFit="1"/>
    </xf>
    <xf numFmtId="0" fontId="46" fillId="0" borderId="0" xfId="0" applyFont="1" applyFill="1" applyBorder="1" applyAlignment="1">
      <alignment vertical="center"/>
    </xf>
    <xf numFmtId="0" fontId="30" fillId="0" borderId="0" xfId="0" applyFont="1" applyFill="1" applyAlignment="1">
      <alignment vertical="center"/>
    </xf>
    <xf numFmtId="0" fontId="36" fillId="0" borderId="0" xfId="0" applyFont="1" applyFill="1" applyAlignment="1">
      <alignment horizontal="left" vertical="top" wrapText="1"/>
    </xf>
    <xf numFmtId="14" fontId="35" fillId="0" borderId="8" xfId="51" applyNumberFormat="1" applyFont="1" applyFill="1" applyBorder="1" applyAlignment="1" applyProtection="1">
      <alignment horizontal="left" wrapText="1"/>
    </xf>
    <xf numFmtId="14" fontId="35" fillId="0" borderId="0" xfId="51" applyNumberFormat="1" applyFont="1" applyFill="1" applyAlignment="1" applyProtection="1">
      <alignment horizontal="left" wrapText="1"/>
    </xf>
    <xf numFmtId="0" fontId="34" fillId="0" borderId="0" xfId="0" applyFont="1" applyFill="1" applyBorder="1" applyAlignment="1"/>
    <xf numFmtId="0" fontId="34" fillId="0" borderId="0" xfId="0" applyFont="1" applyFill="1" applyAlignment="1">
      <alignment horizontal="right"/>
    </xf>
    <xf numFmtId="0" fontId="40" fillId="0" borderId="8" xfId="51" applyFont="1" applyFill="1" applyBorder="1" applyAlignment="1" applyProtection="1">
      <alignment wrapText="1"/>
    </xf>
    <xf numFmtId="0" fontId="39" fillId="0" borderId="0" xfId="51" applyFont="1" applyFill="1" applyBorder="1" applyAlignment="1" applyProtection="1">
      <alignment horizontal="left" vertical="top" wrapText="1"/>
    </xf>
    <xf numFmtId="0" fontId="39" fillId="0" borderId="0" xfId="51" applyFont="1" applyFill="1" applyAlignment="1" applyProtection="1">
      <alignment vertical="center" wrapText="1"/>
    </xf>
    <xf numFmtId="0" fontId="34" fillId="0" borderId="16" xfId="51" applyFont="1" applyFill="1" applyBorder="1" applyAlignment="1" applyProtection="1">
      <alignment horizontal="center" vertical="center" wrapText="1"/>
    </xf>
    <xf numFmtId="0" fontId="34" fillId="0" borderId="42" xfId="51" applyFont="1" applyFill="1" applyBorder="1" applyAlignment="1" applyProtection="1">
      <alignment horizontal="center" vertical="center" wrapText="1"/>
    </xf>
    <xf numFmtId="0" fontId="34" fillId="0" borderId="43" xfId="51" applyFont="1" applyFill="1" applyBorder="1" applyAlignment="1" applyProtection="1">
      <alignment horizontal="center" vertical="center" wrapText="1"/>
    </xf>
    <xf numFmtId="0" fontId="34" fillId="0" borderId="52" xfId="51" applyFont="1" applyFill="1" applyBorder="1" applyAlignment="1" applyProtection="1">
      <alignment horizontal="center" vertical="center" wrapText="1"/>
    </xf>
    <xf numFmtId="0" fontId="40" fillId="0" borderId="53" xfId="51" applyFont="1" applyFill="1" applyBorder="1" applyAlignment="1" applyProtection="1">
      <alignment horizontal="center" vertical="center"/>
    </xf>
    <xf numFmtId="0" fontId="40" fillId="0" borderId="54" xfId="51" applyFont="1" applyFill="1" applyBorder="1" applyAlignment="1" applyProtection="1">
      <alignment horizontal="center" vertical="center" shrinkToFit="1"/>
    </xf>
    <xf numFmtId="0" fontId="40" fillId="0" borderId="55" xfId="51" applyFont="1" applyFill="1" applyBorder="1" applyAlignment="1" applyProtection="1">
      <alignment horizontal="center" vertical="center" shrinkToFit="1"/>
    </xf>
    <xf numFmtId="0" fontId="40" fillId="0" borderId="56" xfId="51" applyNumberFormat="1" applyFont="1" applyFill="1" applyBorder="1" applyAlignment="1" applyProtection="1">
      <alignment horizontal="center" vertical="center" shrinkToFit="1"/>
    </xf>
    <xf numFmtId="0" fontId="40" fillId="0" borderId="0" xfId="51" applyFont="1" applyFill="1" applyBorder="1" applyAlignment="1" applyProtection="1">
      <alignment horizontal="right" vertical="center" shrinkToFit="1"/>
    </xf>
    <xf numFmtId="0" fontId="40" fillId="0" borderId="6" xfId="51" applyFont="1" applyFill="1" applyBorder="1" applyAlignment="1" applyProtection="1">
      <alignment horizontal="left" vertical="center" shrinkToFit="1"/>
    </xf>
    <xf numFmtId="180" fontId="40" fillId="0" borderId="57" xfId="51" applyNumberFormat="1" applyFont="1" applyFill="1" applyBorder="1" applyAlignment="1">
      <alignment horizontal="center" vertical="center" shrinkToFit="1"/>
    </xf>
    <xf numFmtId="180" fontId="40" fillId="0" borderId="58" xfId="51" applyNumberFormat="1" applyFont="1" applyFill="1" applyBorder="1" applyAlignment="1">
      <alignment horizontal="center" vertical="center" shrinkToFit="1"/>
    </xf>
    <xf numFmtId="0" fontId="40" fillId="0" borderId="59" xfId="51" applyFont="1" applyFill="1" applyBorder="1" applyAlignment="1" applyProtection="1">
      <alignment horizontal="center" vertical="center"/>
    </xf>
    <xf numFmtId="0" fontId="40" fillId="0" borderId="60" xfId="51" applyFont="1" applyFill="1" applyBorder="1" applyAlignment="1" applyProtection="1">
      <alignment horizontal="center" vertical="center" shrinkToFit="1"/>
    </xf>
    <xf numFmtId="0" fontId="40" fillId="0" borderId="61" xfId="51" applyFont="1" applyFill="1" applyBorder="1" applyAlignment="1" applyProtection="1">
      <alignment horizontal="center" vertical="center" shrinkToFit="1"/>
    </xf>
    <xf numFmtId="0" fontId="40" fillId="0" borderId="62" xfId="51" applyNumberFormat="1" applyFont="1" applyFill="1" applyBorder="1" applyAlignment="1" applyProtection="1">
      <alignment horizontal="center" vertical="center" shrinkToFit="1"/>
    </xf>
    <xf numFmtId="0" fontId="40" fillId="0" borderId="57" xfId="51" applyFont="1" applyFill="1" applyBorder="1" applyAlignment="1" applyProtection="1">
      <alignment horizontal="right" vertical="center" shrinkToFit="1"/>
    </xf>
    <xf numFmtId="0" fontId="40" fillId="0" borderId="56" xfId="51" applyFont="1" applyFill="1" applyBorder="1" applyAlignment="1" applyProtection="1">
      <alignment horizontal="left" vertical="center" shrinkToFit="1"/>
    </xf>
    <xf numFmtId="180" fontId="40" fillId="0" borderId="63" xfId="51" applyNumberFormat="1" applyFont="1" applyFill="1" applyBorder="1" applyAlignment="1">
      <alignment horizontal="center" vertical="center" shrinkToFit="1"/>
    </xf>
    <xf numFmtId="180" fontId="40" fillId="0" borderId="64" xfId="51" applyNumberFormat="1" applyFont="1" applyFill="1" applyBorder="1" applyAlignment="1">
      <alignment horizontal="center" vertical="center" shrinkToFit="1"/>
    </xf>
    <xf numFmtId="0" fontId="40" fillId="0" borderId="65" xfId="51" applyFont="1" applyFill="1" applyBorder="1" applyAlignment="1" applyProtection="1">
      <alignment horizontal="right" vertical="center" shrinkToFit="1"/>
    </xf>
    <xf numFmtId="0" fontId="40" fillId="0" borderId="66" xfId="51" applyFont="1" applyFill="1" applyBorder="1" applyAlignment="1" applyProtection="1">
      <alignment horizontal="left" vertical="center" shrinkToFit="1"/>
    </xf>
    <xf numFmtId="0" fontId="40" fillId="0" borderId="67" xfId="51" applyFont="1" applyFill="1" applyBorder="1" applyAlignment="1" applyProtection="1">
      <alignment horizontal="center" vertical="center"/>
    </xf>
    <xf numFmtId="0" fontId="40" fillId="0" borderId="68" xfId="51" applyFont="1" applyFill="1" applyBorder="1" applyAlignment="1" applyProtection="1">
      <alignment horizontal="center" vertical="center" shrinkToFit="1"/>
    </xf>
    <xf numFmtId="0" fontId="40" fillId="0" borderId="69" xfId="51" applyFont="1" applyFill="1" applyBorder="1" applyAlignment="1" applyProtection="1">
      <alignment horizontal="center" vertical="center" shrinkToFit="1"/>
    </xf>
    <xf numFmtId="0" fontId="40" fillId="0" borderId="70" xfId="51" applyFont="1" applyFill="1" applyBorder="1" applyAlignment="1" applyProtection="1">
      <alignment horizontal="center" vertical="center"/>
    </xf>
    <xf numFmtId="0" fontId="40" fillId="0" borderId="71" xfId="51" applyFont="1" applyFill="1" applyBorder="1" applyAlignment="1" applyProtection="1">
      <alignment horizontal="center" vertical="center" shrinkToFit="1"/>
    </xf>
    <xf numFmtId="0" fontId="40" fillId="0" borderId="72" xfId="51" applyFont="1" applyFill="1" applyBorder="1" applyAlignment="1" applyProtection="1">
      <alignment horizontal="center" vertical="center"/>
    </xf>
    <xf numFmtId="0" fontId="40" fillId="0" borderId="73" xfId="51" applyFont="1" applyFill="1" applyBorder="1" applyAlignment="1" applyProtection="1">
      <alignment horizontal="center" vertical="center" shrinkToFit="1"/>
    </xf>
    <xf numFmtId="0" fontId="40" fillId="0" borderId="74" xfId="51" applyFont="1" applyFill="1" applyBorder="1" applyAlignment="1" applyProtection="1">
      <alignment horizontal="center" vertical="center"/>
    </xf>
    <xf numFmtId="0" fontId="40" fillId="0" borderId="2" xfId="51" applyFont="1" applyFill="1" applyBorder="1" applyAlignment="1" applyProtection="1">
      <alignment horizontal="center" vertical="center" shrinkToFit="1"/>
    </xf>
    <xf numFmtId="0" fontId="40" fillId="0" borderId="23" xfId="51" applyFont="1" applyFill="1" applyBorder="1" applyAlignment="1" applyProtection="1">
      <alignment horizontal="center" vertical="center"/>
    </xf>
    <xf numFmtId="0" fontId="40" fillId="0" borderId="24" xfId="51" applyFont="1" applyFill="1" applyBorder="1" applyAlignment="1" applyProtection="1">
      <alignment horizontal="center" vertical="center" shrinkToFit="1"/>
    </xf>
    <xf numFmtId="0" fontId="40" fillId="0" borderId="66" xfId="51" applyNumberFormat="1" applyFont="1" applyFill="1" applyBorder="1" applyAlignment="1" applyProtection="1">
      <alignment horizontal="center" vertical="center" shrinkToFit="1"/>
    </xf>
    <xf numFmtId="180" fontId="40" fillId="0" borderId="65" xfId="51" applyNumberFormat="1" applyFont="1" applyFill="1" applyBorder="1" applyAlignment="1">
      <alignment horizontal="center" vertical="center" shrinkToFit="1"/>
    </xf>
    <xf numFmtId="180" fontId="40" fillId="0" borderId="75" xfId="51" applyNumberFormat="1" applyFont="1" applyFill="1" applyBorder="1" applyAlignment="1">
      <alignment horizontal="center" vertical="center" shrinkToFit="1"/>
    </xf>
    <xf numFmtId="0" fontId="40" fillId="0" borderId="42" xfId="51" applyFont="1" applyFill="1" applyBorder="1" applyAlignment="1" applyProtection="1">
      <alignment horizontal="center" vertical="center"/>
    </xf>
    <xf numFmtId="0" fontId="40" fillId="0" borderId="43" xfId="51" applyFont="1" applyFill="1" applyBorder="1" applyAlignment="1" applyProtection="1">
      <alignment horizontal="center" vertical="center" shrinkToFit="1"/>
    </xf>
    <xf numFmtId="0" fontId="40" fillId="0" borderId="76" xfId="51" applyNumberFormat="1" applyFont="1" applyFill="1" applyBorder="1" applyAlignment="1" applyProtection="1">
      <alignment horizontal="center" vertical="center" shrinkToFit="1"/>
    </xf>
    <xf numFmtId="0" fontId="40" fillId="0" borderId="49" xfId="51" applyFont="1" applyFill="1" applyBorder="1" applyAlignment="1" applyProtection="1">
      <alignment horizontal="right" vertical="center" shrinkToFit="1"/>
    </xf>
    <xf numFmtId="0" fontId="40" fillId="0" borderId="50" xfId="51" applyFont="1" applyFill="1" applyBorder="1" applyAlignment="1" applyProtection="1">
      <alignment horizontal="left" vertical="center" shrinkToFit="1"/>
    </xf>
    <xf numFmtId="180" fontId="40" fillId="0" borderId="77" xfId="51" applyNumberFormat="1" applyFont="1" applyFill="1" applyBorder="1" applyAlignment="1">
      <alignment horizontal="center" vertical="center" shrinkToFit="1"/>
    </xf>
    <xf numFmtId="180" fontId="40" fillId="0" borderId="78" xfId="51" applyNumberFormat="1" applyFont="1" applyFill="1" applyBorder="1" applyAlignment="1">
      <alignment horizontal="center" vertical="center" shrinkToFit="1"/>
    </xf>
    <xf numFmtId="0" fontId="40" fillId="0" borderId="47" xfId="51" applyFont="1" applyFill="1" applyBorder="1" applyAlignment="1" applyProtection="1">
      <alignment horizontal="center" vertical="center"/>
    </xf>
    <xf numFmtId="0" fontId="40" fillId="0" borderId="0" xfId="51" applyFont="1" applyFill="1" applyBorder="1" applyAlignment="1" applyProtection="1">
      <alignment horizontal="center" vertical="center" shrinkToFit="1"/>
    </xf>
    <xf numFmtId="0" fontId="40" fillId="0" borderId="79" xfId="51" applyNumberFormat="1" applyFont="1" applyFill="1" applyBorder="1" applyAlignment="1" applyProtection="1">
      <alignment horizontal="center" vertical="center" shrinkToFit="1"/>
    </xf>
    <xf numFmtId="180" fontId="40" fillId="0" borderId="0" xfId="51" applyNumberFormat="1" applyFont="1" applyFill="1" applyBorder="1" applyAlignment="1">
      <alignment horizontal="center" vertical="center" shrinkToFit="1"/>
    </xf>
    <xf numFmtId="180" fontId="40" fillId="0" borderId="80" xfId="51" applyNumberFormat="1" applyFont="1" applyFill="1" applyBorder="1" applyAlignment="1">
      <alignment horizontal="center" vertical="center" shrinkToFit="1"/>
    </xf>
    <xf numFmtId="0" fontId="41" fillId="0" borderId="47" xfId="51" applyFont="1" applyFill="1" applyBorder="1" applyAlignment="1" applyProtection="1">
      <alignment horizontal="center" vertical="center" wrapText="1"/>
    </xf>
    <xf numFmtId="0" fontId="41" fillId="0" borderId="79" xfId="51" applyNumberFormat="1" applyFont="1" applyFill="1" applyBorder="1" applyAlignment="1" applyProtection="1">
      <alignment horizontal="center" vertical="center" shrinkToFit="1"/>
    </xf>
    <xf numFmtId="0" fontId="41" fillId="0" borderId="0" xfId="51" applyNumberFormat="1" applyFont="1" applyFill="1" applyBorder="1" applyAlignment="1" applyProtection="1">
      <alignment horizontal="center" vertical="center" shrinkToFit="1"/>
    </xf>
    <xf numFmtId="0" fontId="41" fillId="0" borderId="6" xfId="51" applyNumberFormat="1" applyFont="1" applyFill="1" applyBorder="1" applyAlignment="1" applyProtection="1">
      <alignment horizontal="center" vertical="center" shrinkToFit="1"/>
    </xf>
    <xf numFmtId="180" fontId="41" fillId="0" borderId="80" xfId="51" applyNumberFormat="1" applyFont="1" applyFill="1" applyBorder="1" applyAlignment="1">
      <alignment horizontal="center" vertical="center" shrinkToFit="1"/>
    </xf>
    <xf numFmtId="0" fontId="41" fillId="0" borderId="48" xfId="51" applyFont="1" applyFill="1" applyBorder="1" applyAlignment="1" applyProtection="1">
      <alignment horizontal="center" vertical="center" wrapText="1"/>
    </xf>
    <xf numFmtId="0" fontId="41" fillId="0" borderId="49" xfId="51" applyFont="1" applyFill="1" applyBorder="1" applyAlignment="1" applyProtection="1">
      <alignment horizontal="center" vertical="center" wrapText="1"/>
    </xf>
    <xf numFmtId="0" fontId="41" fillId="0" borderId="81" xfId="51" applyNumberFormat="1" applyFont="1" applyFill="1" applyBorder="1" applyAlignment="1" applyProtection="1">
      <alignment horizontal="center" vertical="center" shrinkToFit="1"/>
    </xf>
    <xf numFmtId="0" fontId="41" fillId="0" borderId="49" xfId="51" applyNumberFormat="1" applyFont="1" applyFill="1" applyBorder="1" applyAlignment="1" applyProtection="1">
      <alignment horizontal="center" vertical="center" shrinkToFit="1"/>
    </xf>
    <xf numFmtId="0" fontId="41" fillId="0" borderId="50" xfId="51" applyNumberFormat="1" applyFont="1" applyFill="1" applyBorder="1" applyAlignment="1" applyProtection="1">
      <alignment horizontal="center" vertical="center" shrinkToFit="1"/>
    </xf>
    <xf numFmtId="180" fontId="41" fillId="0" borderId="49" xfId="51" applyNumberFormat="1" applyFont="1" applyFill="1" applyBorder="1" applyAlignment="1" applyProtection="1">
      <alignment vertical="center" shrinkToFit="1"/>
    </xf>
    <xf numFmtId="180" fontId="41" fillId="0" borderId="82" xfId="51" applyNumberFormat="1" applyFont="1" applyFill="1" applyBorder="1" applyAlignment="1">
      <alignment vertical="center" shrinkToFit="1"/>
    </xf>
    <xf numFmtId="0" fontId="0" fillId="0" borderId="0" xfId="0" applyAlignment="1">
      <alignment vertical="top"/>
    </xf>
    <xf numFmtId="0" fontId="47" fillId="0" borderId="0" xfId="50" applyFont="1" applyFill="1" applyAlignment="1">
      <alignment vertical="center"/>
    </xf>
    <xf numFmtId="0" fontId="0" fillId="0" borderId="0" xfId="0" applyAlignment="1">
      <alignment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48" fillId="0" borderId="0" xfId="0" applyFont="1" applyAlignment="1">
      <alignment horizontal="center" vertical="center"/>
    </xf>
    <xf numFmtId="183" fontId="49" fillId="0" borderId="0" xfId="0" applyNumberFormat="1" applyFont="1" applyAlignment="1">
      <alignment horizontal="left" vertical="center"/>
    </xf>
    <xf numFmtId="0" fontId="48" fillId="0" borderId="0" xfId="0" applyFont="1" applyAlignment="1">
      <alignment horizontal="right" vertical="center"/>
    </xf>
    <xf numFmtId="49" fontId="49" fillId="0" borderId="0" xfId="0" applyNumberFormat="1" applyFont="1" applyAlignment="1">
      <alignment horizontal="center" vertical="center"/>
    </xf>
    <xf numFmtId="0" fontId="48" fillId="0" borderId="26" xfId="0" applyFont="1" applyBorder="1" applyAlignment="1">
      <alignment vertical="center"/>
    </xf>
    <xf numFmtId="0" fontId="48" fillId="0" borderId="20" xfId="0" applyFont="1" applyBorder="1" applyAlignment="1">
      <alignment vertical="center"/>
    </xf>
    <xf numFmtId="183" fontId="49" fillId="0" borderId="20" xfId="0" applyNumberFormat="1" applyFont="1" applyBorder="1" applyAlignment="1">
      <alignment horizontal="left" vertical="center"/>
    </xf>
    <xf numFmtId="183" fontId="49" fillId="0" borderId="21" xfId="0" applyNumberFormat="1" applyFont="1" applyBorder="1" applyAlignment="1">
      <alignment horizontal="left" vertical="center"/>
    </xf>
    <xf numFmtId="0" fontId="48" fillId="0" borderId="19" xfId="0" applyFont="1" applyBorder="1" applyAlignment="1">
      <alignment vertical="center"/>
    </xf>
    <xf numFmtId="0" fontId="48" fillId="0" borderId="19" xfId="0" applyFont="1" applyBorder="1" applyAlignment="1">
      <alignment horizontal="center" vertical="center"/>
    </xf>
    <xf numFmtId="0" fontId="50" fillId="0" borderId="21" xfId="0" applyFont="1" applyBorder="1" applyAlignment="1">
      <alignment vertical="center"/>
    </xf>
    <xf numFmtId="0" fontId="50" fillId="0" borderId="20" xfId="0" applyFont="1" applyBorder="1" applyAlignment="1">
      <alignment vertical="center"/>
    </xf>
    <xf numFmtId="0" fontId="50" fillId="0" borderId="20" xfId="0" applyFont="1" applyBorder="1" applyAlignment="1">
      <alignment horizontal="center" vertical="center"/>
    </xf>
    <xf numFmtId="0" fontId="50" fillId="0" borderId="22" xfId="0" applyFont="1" applyBorder="1" applyAlignment="1">
      <alignment horizontal="center" vertical="center"/>
    </xf>
    <xf numFmtId="0" fontId="49" fillId="0" borderId="83" xfId="0" applyFont="1" applyBorder="1" applyAlignment="1">
      <alignment vertical="center"/>
    </xf>
    <xf numFmtId="0" fontId="49" fillId="0" borderId="8" xfId="0" applyFont="1" applyBorder="1" applyAlignment="1">
      <alignment horizontal="center" vertical="center"/>
    </xf>
    <xf numFmtId="0" fontId="49" fillId="0" borderId="9" xfId="0" applyFont="1" applyBorder="1" applyAlignment="1">
      <alignment horizontal="center" vertical="center"/>
    </xf>
    <xf numFmtId="0" fontId="49" fillId="0" borderId="7" xfId="0" applyFont="1" applyBorder="1" applyAlignment="1">
      <alignment horizontal="left" vertical="center"/>
    </xf>
    <xf numFmtId="0" fontId="49" fillId="0" borderId="8" xfId="0" applyFont="1" applyBorder="1" applyAlignment="1">
      <alignment horizontal="left" vertical="center"/>
    </xf>
    <xf numFmtId="0" fontId="49" fillId="0" borderId="9" xfId="0" applyFont="1" applyBorder="1" applyAlignment="1">
      <alignment horizontal="left" vertical="center"/>
    </xf>
    <xf numFmtId="184" fontId="49" fillId="0" borderId="7" xfId="0" applyNumberFormat="1" applyFont="1" applyBorder="1" applyAlignment="1" applyProtection="1">
      <alignment horizontal="left" vertical="center"/>
      <protection locked="0"/>
    </xf>
    <xf numFmtId="184" fontId="49" fillId="0" borderId="8" xfId="0" applyNumberFormat="1" applyFont="1" applyBorder="1" applyAlignment="1" applyProtection="1">
      <alignment horizontal="left" vertical="center"/>
      <protection locked="0"/>
    </xf>
    <xf numFmtId="184" fontId="49" fillId="0" borderId="9" xfId="0" applyNumberFormat="1" applyFont="1" applyBorder="1" applyAlignment="1" applyProtection="1">
      <alignment horizontal="left" vertical="center"/>
      <protection locked="0"/>
    </xf>
    <xf numFmtId="184" fontId="49" fillId="0" borderId="10" xfId="0" applyNumberFormat="1" applyFont="1" applyBorder="1" applyAlignment="1">
      <alignment horizontal="left" vertical="center"/>
    </xf>
    <xf numFmtId="184" fontId="49" fillId="0" borderId="0" xfId="0" applyNumberFormat="1" applyFont="1" applyBorder="1" applyAlignment="1">
      <alignment horizontal="left" vertical="center"/>
    </xf>
    <xf numFmtId="0" fontId="49" fillId="0" borderId="10" xfId="0" applyFont="1" applyBorder="1" applyAlignment="1">
      <alignment horizontal="left" vertical="center"/>
    </xf>
    <xf numFmtId="0" fontId="49" fillId="0" borderId="0" xfId="0" applyFont="1" applyBorder="1" applyAlignment="1">
      <alignment horizontal="left" vertical="center"/>
    </xf>
    <xf numFmtId="0" fontId="49" fillId="0" borderId="25" xfId="0" applyFont="1" applyBorder="1" applyAlignment="1">
      <alignment horizontal="left" vertical="center"/>
    </xf>
    <xf numFmtId="0" fontId="48" fillId="0" borderId="47" xfId="0" applyFont="1" applyBorder="1" applyAlignment="1">
      <alignment vertical="center"/>
    </xf>
    <xf numFmtId="183" fontId="49" fillId="0" borderId="6" xfId="0" applyNumberFormat="1" applyFont="1" applyBorder="1" applyAlignment="1">
      <alignment horizontal="left" vertical="center"/>
    </xf>
    <xf numFmtId="0" fontId="48" fillId="0" borderId="5" xfId="0" applyFont="1" applyBorder="1" applyAlignment="1">
      <alignment vertical="center"/>
    </xf>
    <xf numFmtId="0" fontId="50" fillId="0" borderId="12" xfId="0" applyFont="1" applyBorder="1" applyAlignment="1">
      <alignment horizontal="center" vertical="center"/>
    </xf>
    <xf numFmtId="0" fontId="50" fillId="0" borderId="13" xfId="0" applyFont="1" applyBorder="1" applyAlignment="1">
      <alignment horizontal="center" vertical="center"/>
    </xf>
    <xf numFmtId="0" fontId="48" fillId="0" borderId="12" xfId="0" applyFont="1" applyBorder="1" applyAlignment="1">
      <alignment horizontal="left" vertical="center"/>
    </xf>
    <xf numFmtId="0" fontId="48" fillId="0" borderId="13" xfId="0" applyFont="1" applyBorder="1" applyAlignment="1">
      <alignment horizontal="left" vertical="center"/>
    </xf>
    <xf numFmtId="0" fontId="50" fillId="0" borderId="84" xfId="0" applyFont="1" applyBorder="1" applyAlignment="1">
      <alignment horizontal="center" vertical="center"/>
    </xf>
    <xf numFmtId="0" fontId="49" fillId="0" borderId="85" xfId="0" applyFont="1" applyBorder="1" applyAlignment="1">
      <alignment horizontal="left" vertical="center"/>
    </xf>
    <xf numFmtId="0" fontId="48" fillId="0" borderId="12" xfId="0" applyFont="1" applyBorder="1" applyAlignment="1">
      <alignment horizontal="center" vertical="center"/>
    </xf>
    <xf numFmtId="0" fontId="48" fillId="0" borderId="12" xfId="0" applyFont="1" applyBorder="1" applyAlignment="1">
      <alignment vertical="center"/>
    </xf>
    <xf numFmtId="0" fontId="50" fillId="0" borderId="13" xfId="0" applyFont="1" applyBorder="1" applyAlignment="1">
      <alignment vertical="center"/>
    </xf>
    <xf numFmtId="0" fontId="48" fillId="0" borderId="6" xfId="0" applyFont="1" applyBorder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0" fontId="50" fillId="0" borderId="13" xfId="0" applyFont="1" applyBorder="1" applyAlignment="1">
      <alignment horizontal="left" vertical="center"/>
    </xf>
    <xf numFmtId="0" fontId="50" fillId="0" borderId="12" xfId="0" applyFont="1" applyBorder="1" applyAlignment="1">
      <alignment horizontal="left" vertical="center"/>
    </xf>
    <xf numFmtId="0" fontId="50" fillId="0" borderId="84" xfId="0" applyFont="1" applyBorder="1" applyAlignment="1">
      <alignment horizontal="left" vertical="center"/>
    </xf>
    <xf numFmtId="0" fontId="49" fillId="0" borderId="6" xfId="0" applyFont="1" applyBorder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48" fillId="0" borderId="6" xfId="0" applyFont="1" applyBorder="1" applyAlignment="1">
      <alignment horizontal="left" vertical="center"/>
    </xf>
    <xf numFmtId="0" fontId="48" fillId="0" borderId="0" xfId="0" applyFont="1" applyBorder="1" applyAlignment="1">
      <alignment vertical="center"/>
    </xf>
    <xf numFmtId="0" fontId="48" fillId="0" borderId="5" xfId="0" applyFont="1" applyBorder="1" applyAlignment="1">
      <alignment horizontal="left" vertical="center"/>
    </xf>
    <xf numFmtId="0" fontId="48" fillId="0" borderId="10" xfId="0" applyFont="1" applyBorder="1" applyAlignment="1">
      <alignment horizontal="left" vertical="center"/>
    </xf>
    <xf numFmtId="0" fontId="48" fillId="0" borderId="79" xfId="0" applyFont="1" applyBorder="1" applyAlignment="1">
      <alignment vertical="center"/>
    </xf>
    <xf numFmtId="0" fontId="50" fillId="0" borderId="84" xfId="0" applyFont="1" applyBorder="1" applyAlignment="1">
      <alignment vertical="center"/>
    </xf>
    <xf numFmtId="0" fontId="49" fillId="0" borderId="2" xfId="0" applyFont="1" applyBorder="1" applyAlignment="1">
      <alignment horizontal="left" vertical="center"/>
    </xf>
    <xf numFmtId="0" fontId="48" fillId="0" borderId="0" xfId="0" applyFont="1" applyAlignment="1">
      <alignment vertical="center" wrapText="1"/>
    </xf>
    <xf numFmtId="0" fontId="50" fillId="0" borderId="0" xfId="0" applyFont="1" applyBorder="1" applyAlignment="1">
      <alignment horizontal="center" vertical="center"/>
    </xf>
    <xf numFmtId="0" fontId="49" fillId="0" borderId="47" xfId="0" applyFont="1" applyBorder="1" applyAlignment="1">
      <alignment vertical="center"/>
    </xf>
    <xf numFmtId="0" fontId="49" fillId="0" borderId="0" xfId="0" applyFont="1" applyBorder="1" applyAlignment="1">
      <alignment horizontal="center" vertical="center"/>
    </xf>
    <xf numFmtId="0" fontId="49" fillId="0" borderId="25" xfId="0" applyFont="1" applyBorder="1" applyAlignment="1">
      <alignment horizontal="center" vertical="center"/>
    </xf>
    <xf numFmtId="0" fontId="48" fillId="0" borderId="86" xfId="0" applyFont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51" fillId="0" borderId="12" xfId="0" applyFont="1" applyBorder="1" applyAlignment="1">
      <alignment horizontal="right" vertical="top" wrapText="1"/>
    </xf>
    <xf numFmtId="0" fontId="49" fillId="0" borderId="12" xfId="0" applyFont="1" applyBorder="1" applyAlignment="1" applyProtection="1">
      <alignment vertical="center" wrapText="1"/>
      <protection locked="0"/>
    </xf>
    <xf numFmtId="0" fontId="49" fillId="0" borderId="12" xfId="0" applyFont="1" applyBorder="1" applyAlignment="1">
      <alignment vertical="center"/>
    </xf>
    <xf numFmtId="0" fontId="49" fillId="0" borderId="12" xfId="0" applyFont="1" applyBorder="1" applyAlignment="1" applyProtection="1">
      <alignment vertical="center"/>
      <protection locked="0"/>
    </xf>
    <xf numFmtId="0" fontId="52" fillId="0" borderId="12" xfId="0" applyFont="1" applyBorder="1" applyAlignment="1" applyProtection="1">
      <alignment vertical="center" wrapText="1"/>
      <protection locked="0"/>
    </xf>
    <xf numFmtId="0" fontId="52" fillId="0" borderId="84" xfId="0" applyFont="1" applyBorder="1" applyAlignment="1" applyProtection="1">
      <alignment vertical="center" wrapText="1"/>
      <protection locked="0"/>
    </xf>
    <xf numFmtId="0" fontId="49" fillId="0" borderId="47" xfId="0" applyFont="1" applyBorder="1" applyAlignment="1">
      <alignment horizontal="right" vertical="center"/>
    </xf>
    <xf numFmtId="0" fontId="49" fillId="0" borderId="0" xfId="0" applyFont="1" applyAlignment="1" applyProtection="1">
      <alignment horizontal="left" vertical="top"/>
      <protection locked="0"/>
    </xf>
    <xf numFmtId="0" fontId="49" fillId="0" borderId="0" xfId="0" applyFont="1" applyAlignment="1" applyProtection="1">
      <alignment horizontal="left" vertical="top" wrapText="1"/>
      <protection locked="0"/>
    </xf>
    <xf numFmtId="0" fontId="49" fillId="0" borderId="25" xfId="0" applyFont="1" applyBorder="1" applyAlignment="1" applyProtection="1">
      <alignment horizontal="left" vertical="top"/>
      <protection locked="0"/>
    </xf>
    <xf numFmtId="0" fontId="49" fillId="0" borderId="48" xfId="0" applyFont="1" applyBorder="1" applyAlignment="1">
      <alignment vertical="center"/>
    </xf>
    <xf numFmtId="0" fontId="49" fillId="0" borderId="49" xfId="0" applyFont="1" applyBorder="1" applyAlignment="1" applyProtection="1">
      <alignment horizontal="left" vertical="top"/>
      <protection locked="0"/>
    </xf>
    <xf numFmtId="0" fontId="49" fillId="0" borderId="49" xfId="0" applyFont="1" applyBorder="1" applyAlignment="1" applyProtection="1">
      <alignment horizontal="left" vertical="top" wrapText="1"/>
      <protection locked="0"/>
    </xf>
    <xf numFmtId="0" fontId="49" fillId="0" borderId="51" xfId="0" applyFont="1" applyBorder="1" applyAlignment="1" applyProtection="1">
      <alignment horizontal="left" vertical="top"/>
      <protection locked="0"/>
    </xf>
    <xf numFmtId="0" fontId="48" fillId="0" borderId="83" xfId="0" applyFont="1" applyBorder="1" applyAlignment="1">
      <alignment horizontal="center" vertical="center"/>
    </xf>
    <xf numFmtId="0" fontId="48" fillId="0" borderId="8" xfId="0" applyFont="1" applyBorder="1" applyAlignment="1">
      <alignment horizontal="center" vertical="center"/>
    </xf>
    <xf numFmtId="0" fontId="48" fillId="0" borderId="85" xfId="0" applyFont="1" applyBorder="1" applyAlignment="1">
      <alignment horizontal="center" vertical="center"/>
    </xf>
    <xf numFmtId="0" fontId="53" fillId="0" borderId="86" xfId="0" applyFont="1" applyBorder="1" applyAlignment="1">
      <alignment horizontal="center" vertical="center"/>
    </xf>
    <xf numFmtId="0" fontId="53" fillId="0" borderId="12" xfId="0" applyFont="1" applyBorder="1" applyAlignment="1">
      <alignment horizontal="center" vertical="center"/>
    </xf>
    <xf numFmtId="0" fontId="53" fillId="0" borderId="12" xfId="0" applyFont="1" applyBorder="1" applyAlignment="1">
      <alignment horizontal="left" vertical="center"/>
    </xf>
    <xf numFmtId="0" fontId="53" fillId="0" borderId="12" xfId="0" applyFont="1" applyBorder="1" applyAlignment="1">
      <alignment horizontal="right" vertical="center"/>
    </xf>
    <xf numFmtId="185" fontId="53" fillId="0" borderId="12" xfId="0" applyNumberFormat="1" applyFont="1" applyBorder="1" applyAlignment="1">
      <alignment horizontal="right" vertical="center"/>
    </xf>
    <xf numFmtId="0" fontId="53" fillId="0" borderId="84" xfId="0" applyFont="1" applyBorder="1" applyAlignment="1">
      <alignment vertical="center"/>
    </xf>
    <xf numFmtId="0" fontId="53" fillId="0" borderId="47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0" borderId="0" xfId="0" applyFont="1" applyBorder="1" applyAlignment="1">
      <alignment horizontal="left" vertical="top" wrapText="1"/>
    </xf>
    <xf numFmtId="0" fontId="53" fillId="0" borderId="0" xfId="0" applyFont="1" applyAlignment="1">
      <alignment horizontal="right" vertical="center" wrapText="1"/>
    </xf>
    <xf numFmtId="0" fontId="53" fillId="0" borderId="0" xfId="0" applyFont="1" applyAlignment="1">
      <alignment horizontal="left" vertical="center"/>
    </xf>
    <xf numFmtId="185" fontId="53" fillId="0" borderId="0" xfId="0" applyNumberFormat="1" applyFont="1" applyAlignment="1">
      <alignment horizontal="right" vertical="center"/>
    </xf>
    <xf numFmtId="0" fontId="53" fillId="0" borderId="0" xfId="0" applyFont="1" applyBorder="1" applyAlignment="1">
      <alignment horizontal="center" vertical="center"/>
    </xf>
    <xf numFmtId="0" fontId="53" fillId="0" borderId="25" xfId="0" applyFont="1" applyBorder="1" applyAlignment="1">
      <alignment vertical="center"/>
    </xf>
    <xf numFmtId="0" fontId="47" fillId="0" borderId="0" xfId="50" applyFont="1" applyFill="1" applyAlignment="1">
      <alignment vertical="top"/>
    </xf>
    <xf numFmtId="0" fontId="53" fillId="0" borderId="53" xfId="0" applyFont="1" applyBorder="1" applyAlignment="1">
      <alignment horizontal="center" vertical="top"/>
    </xf>
    <xf numFmtId="0" fontId="53" fillId="0" borderId="57" xfId="0" applyFont="1" applyBorder="1" applyAlignment="1">
      <alignment horizontal="center" vertical="top"/>
    </xf>
    <xf numFmtId="0" fontId="53" fillId="0" borderId="57" xfId="0" applyFont="1" applyBorder="1" applyAlignment="1">
      <alignment horizontal="left" vertical="top" wrapText="1"/>
    </xf>
    <xf numFmtId="0" fontId="53" fillId="0" borderId="57" xfId="0" applyFont="1" applyBorder="1" applyAlignment="1">
      <alignment horizontal="center" vertical="top" wrapText="1"/>
    </xf>
    <xf numFmtId="0" fontId="53" fillId="0" borderId="57" xfId="0" applyFont="1" applyBorder="1" applyAlignment="1">
      <alignment vertical="top"/>
    </xf>
    <xf numFmtId="0" fontId="53" fillId="0" borderId="57" xfId="0" applyFont="1" applyBorder="1" applyAlignment="1">
      <alignment horizontal="right" vertical="top"/>
    </xf>
    <xf numFmtId="0" fontId="53" fillId="0" borderId="36" xfId="0" applyFont="1" applyBorder="1" applyAlignment="1">
      <alignment vertical="top"/>
    </xf>
    <xf numFmtId="0" fontId="53" fillId="0" borderId="0" xfId="0" applyFont="1" applyBorder="1" applyAlignment="1">
      <alignment horizontal="left" vertical="center"/>
    </xf>
    <xf numFmtId="0" fontId="53" fillId="0" borderId="0" xfId="0" applyFont="1" applyBorder="1" applyAlignment="1">
      <alignment horizontal="right" vertical="center"/>
    </xf>
    <xf numFmtId="185" fontId="53" fillId="0" borderId="0" xfId="0" applyNumberFormat="1" applyFont="1" applyBorder="1" applyAlignment="1">
      <alignment horizontal="right" vertical="center"/>
    </xf>
    <xf numFmtId="0" fontId="53" fillId="0" borderId="47" xfId="0" applyFont="1" applyBorder="1" applyAlignment="1">
      <alignment horizontal="center" vertical="top"/>
    </xf>
    <xf numFmtId="0" fontId="53" fillId="0" borderId="0" xfId="0" applyFont="1" applyAlignment="1">
      <alignment horizontal="center" vertical="top"/>
    </xf>
    <xf numFmtId="0" fontId="53" fillId="0" borderId="0" xfId="0" applyFont="1" applyBorder="1" applyAlignment="1">
      <alignment horizontal="center" vertical="top" wrapText="1"/>
    </xf>
    <xf numFmtId="0" fontId="53" fillId="0" borderId="0" xfId="0" applyFont="1" applyBorder="1" applyAlignment="1">
      <alignment vertical="top"/>
    </xf>
    <xf numFmtId="0" fontId="53" fillId="0" borderId="0" xfId="0" applyFont="1" applyBorder="1" applyAlignment="1">
      <alignment horizontal="center" vertical="top"/>
    </xf>
    <xf numFmtId="0" fontId="53" fillId="0" borderId="25" xfId="0" applyFont="1" applyBorder="1" applyAlignment="1">
      <alignment vertical="top"/>
    </xf>
    <xf numFmtId="0" fontId="53" fillId="0" borderId="87" xfId="0" applyFont="1" applyBorder="1" applyAlignment="1">
      <alignment horizontal="center" vertical="top" wrapText="1"/>
    </xf>
    <xf numFmtId="0" fontId="53" fillId="0" borderId="87" xfId="0" applyFont="1" applyBorder="1" applyAlignment="1">
      <alignment vertical="top"/>
    </xf>
    <xf numFmtId="0" fontId="53" fillId="0" borderId="0" xfId="0" applyFont="1" applyAlignment="1">
      <alignment vertical="top"/>
    </xf>
    <xf numFmtId="0" fontId="48" fillId="0" borderId="26" xfId="0" applyFont="1" applyBorder="1" applyAlignment="1">
      <alignment horizontal="center" vertical="center"/>
    </xf>
    <xf numFmtId="0" fontId="48" fillId="0" borderId="20" xfId="0" applyFont="1" applyBorder="1" applyAlignment="1">
      <alignment horizontal="center" vertical="center"/>
    </xf>
    <xf numFmtId="0" fontId="49" fillId="0" borderId="20" xfId="0" applyFont="1" applyBorder="1" applyAlignment="1">
      <alignment vertical="center"/>
    </xf>
    <xf numFmtId="0" fontId="48" fillId="0" borderId="20" xfId="0" applyFont="1" applyBorder="1" applyAlignment="1">
      <alignment horizontal="right" vertical="center"/>
    </xf>
    <xf numFmtId="0" fontId="49" fillId="0" borderId="20" xfId="0" applyFont="1" applyBorder="1" applyAlignment="1">
      <alignment horizontal="left" vertical="center"/>
    </xf>
    <xf numFmtId="0" fontId="48" fillId="0" borderId="22" xfId="0" applyFont="1" applyBorder="1" applyAlignment="1">
      <alignment horizontal="right" vertical="center" indent="1"/>
    </xf>
    <xf numFmtId="0" fontId="48" fillId="0" borderId="26" xfId="0" applyFont="1" applyBorder="1" applyAlignment="1">
      <alignment horizontal="left" vertical="center" indent="1"/>
    </xf>
    <xf numFmtId="0" fontId="48" fillId="0" borderId="20" xfId="0" applyFont="1" applyBorder="1" applyAlignment="1">
      <alignment horizontal="left" vertical="center" indent="1"/>
    </xf>
    <xf numFmtId="0" fontId="48" fillId="0" borderId="22" xfId="0" applyFont="1" applyBorder="1" applyAlignment="1">
      <alignment horizontal="left" vertical="center" indent="1"/>
    </xf>
    <xf numFmtId="0" fontId="48" fillId="0" borderId="48" xfId="0" applyFont="1" applyBorder="1" applyAlignment="1">
      <alignment horizontal="center" vertical="center"/>
    </xf>
    <xf numFmtId="0" fontId="48" fillId="0" borderId="49" xfId="0" applyFont="1" applyBorder="1" applyAlignment="1">
      <alignment horizontal="center" vertical="center"/>
    </xf>
    <xf numFmtId="0" fontId="49" fillId="0" borderId="49" xfId="0" applyFont="1" applyBorder="1" applyAlignment="1">
      <alignment vertical="center"/>
    </xf>
    <xf numFmtId="0" fontId="51" fillId="0" borderId="49" xfId="0" applyFont="1" applyBorder="1" applyAlignment="1">
      <alignment vertical="center"/>
    </xf>
    <xf numFmtId="0" fontId="48" fillId="0" borderId="49" xfId="0" applyFont="1" applyBorder="1" applyAlignment="1">
      <alignment vertical="center"/>
    </xf>
    <xf numFmtId="0" fontId="48" fillId="0" borderId="51" xfId="0" applyFont="1" applyBorder="1" applyAlignment="1">
      <alignment horizontal="right" vertical="center" indent="1"/>
    </xf>
    <xf numFmtId="0" fontId="48" fillId="0" borderId="51" xfId="0" applyFont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4" fillId="3" borderId="26" xfId="0" applyFont="1" applyFill="1" applyBorder="1" applyAlignment="1">
      <alignment horizontal="center" vertical="center"/>
    </xf>
    <xf numFmtId="0" fontId="54" fillId="3" borderId="20" xfId="0" applyFont="1" applyFill="1" applyBorder="1" applyAlignment="1">
      <alignment horizontal="center" vertical="center"/>
    </xf>
    <xf numFmtId="0" fontId="54" fillId="3" borderId="22" xfId="0" applyFont="1" applyFill="1" applyBorder="1" applyAlignment="1">
      <alignment horizontal="center" vertical="center"/>
    </xf>
    <xf numFmtId="0" fontId="5" fillId="4" borderId="88" xfId="0" applyNumberFormat="1" applyFont="1" applyFill="1" applyBorder="1" applyAlignment="1" applyProtection="1">
      <alignment horizontal="right" vertical="center"/>
    </xf>
    <xf numFmtId="0" fontId="5" fillId="4" borderId="11" xfId="0" applyNumberFormat="1" applyFont="1" applyFill="1" applyBorder="1" applyAlignment="1" applyProtection="1">
      <alignment horizontal="right" vertical="center"/>
    </xf>
    <xf numFmtId="0" fontId="5" fillId="4" borderId="11" xfId="0" applyNumberFormat="1" applyFont="1" applyFill="1" applyBorder="1" applyAlignment="1" applyProtection="1">
      <alignment horizontal="center" vertical="center"/>
      <protection locked="0"/>
    </xf>
    <xf numFmtId="0" fontId="5" fillId="4" borderId="11" xfId="0" applyNumberFormat="1" applyFont="1" applyFill="1" applyBorder="1" applyAlignment="1" applyProtection="1">
      <alignment horizontal="left" vertical="center"/>
      <protection locked="0"/>
    </xf>
    <xf numFmtId="184" fontId="5" fillId="4" borderId="11" xfId="0" applyNumberFormat="1" applyFont="1" applyFill="1" applyBorder="1" applyAlignment="1" applyProtection="1">
      <alignment horizontal="left" vertical="center"/>
      <protection locked="0"/>
    </xf>
    <xf numFmtId="184" fontId="5" fillId="4" borderId="12" xfId="0" applyNumberFormat="1" applyFont="1" applyFill="1" applyBorder="1" applyAlignment="1" applyProtection="1">
      <alignment horizontal="right" vertical="center"/>
    </xf>
    <xf numFmtId="184" fontId="5" fillId="4" borderId="12" xfId="0" applyNumberFormat="1" applyFont="1" applyFill="1" applyBorder="1" applyAlignment="1" applyProtection="1">
      <alignment horizontal="center" vertical="center"/>
      <protection locked="0"/>
    </xf>
    <xf numFmtId="184" fontId="5" fillId="4" borderId="84" xfId="0" applyNumberFormat="1" applyFont="1" applyFill="1" applyBorder="1" applyAlignment="1" applyProtection="1">
      <alignment horizontal="center" vertical="center"/>
      <protection locked="0"/>
    </xf>
    <xf numFmtId="0" fontId="55" fillId="5" borderId="89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14" fontId="5" fillId="2" borderId="7" xfId="0" applyNumberFormat="1" applyFont="1" applyFill="1" applyBorder="1" applyAlignment="1" applyProtection="1">
      <alignment horizontal="center" vertical="center"/>
      <protection locked="0"/>
    </xf>
    <xf numFmtId="14" fontId="5" fillId="2" borderId="9" xfId="0" applyNumberFormat="1" applyFont="1" applyFill="1" applyBorder="1" applyAlignment="1" applyProtection="1">
      <alignment horizontal="center" vertical="center"/>
      <protection locked="0"/>
    </xf>
    <xf numFmtId="0" fontId="5" fillId="7" borderId="2" xfId="0" applyFont="1" applyFill="1" applyBorder="1" applyAlignment="1">
      <alignment horizontal="center" vertical="center"/>
    </xf>
    <xf numFmtId="14" fontId="5" fillId="2" borderId="8" xfId="0" applyNumberFormat="1" applyFont="1" applyFill="1" applyBorder="1" applyAlignment="1" applyProtection="1">
      <alignment horizontal="center" vertical="center"/>
      <protection locked="0"/>
    </xf>
    <xf numFmtId="14" fontId="5" fillId="2" borderId="85" xfId="0" applyNumberFormat="1" applyFont="1" applyFill="1" applyBorder="1" applyAlignment="1" applyProtection="1">
      <alignment horizontal="center" vertical="center"/>
      <protection locked="0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5" fillId="2" borderId="4" xfId="0" applyNumberFormat="1" applyFont="1" applyFill="1" applyBorder="1" applyAlignment="1" applyProtection="1">
      <alignment horizontal="center" vertical="center"/>
      <protection locked="0"/>
    </xf>
    <xf numFmtId="0" fontId="5" fillId="7" borderId="1" xfId="0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 applyProtection="1">
      <alignment horizontal="center" vertical="center" wrapText="1"/>
      <protection locked="0"/>
    </xf>
    <xf numFmtId="14" fontId="5" fillId="2" borderId="11" xfId="0" applyNumberFormat="1" applyFont="1" applyFill="1" applyBorder="1" applyAlignment="1" applyProtection="1">
      <alignment horizontal="center" vertical="center"/>
      <protection locked="0"/>
    </xf>
    <xf numFmtId="14" fontId="5" fillId="2" borderId="90" xfId="0" applyNumberFormat="1" applyFont="1" applyFill="1" applyBorder="1" applyAlignment="1" applyProtection="1">
      <alignment horizontal="center" vertical="center"/>
      <protection locked="0"/>
    </xf>
    <xf numFmtId="14" fontId="5" fillId="2" borderId="3" xfId="0" applyNumberFormat="1" applyFont="1" applyFill="1" applyBorder="1" applyAlignment="1" applyProtection="1">
      <alignment horizontal="center" vertical="center"/>
      <protection locked="0"/>
    </xf>
    <xf numFmtId="14" fontId="5" fillId="2" borderId="11" xfId="0" applyNumberFormat="1" applyFont="1" applyFill="1" applyBorder="1" applyAlignment="1" applyProtection="1">
      <alignment horizontal="left" vertical="center"/>
      <protection locked="0"/>
    </xf>
    <xf numFmtId="14" fontId="5" fillId="2" borderId="90" xfId="0" applyNumberFormat="1" applyFont="1" applyFill="1" applyBorder="1" applyAlignment="1" applyProtection="1">
      <alignment horizontal="left" vertical="center"/>
      <protection locked="0"/>
    </xf>
    <xf numFmtId="14" fontId="5" fillId="2" borderId="4" xfId="0" applyNumberFormat="1" applyFont="1" applyFill="1" applyBorder="1" applyAlignment="1" applyProtection="1">
      <alignment horizontal="center" vertical="center"/>
      <protection locked="0"/>
    </xf>
    <xf numFmtId="0" fontId="5" fillId="6" borderId="1" xfId="0" applyFont="1" applyFill="1" applyBorder="1" applyAlignment="1">
      <alignment horizontal="center" vertical="center"/>
    </xf>
    <xf numFmtId="14" fontId="5" fillId="2" borderId="5" xfId="0" applyNumberFormat="1" applyFont="1" applyFill="1" applyBorder="1" applyAlignment="1" applyProtection="1">
      <alignment horizontal="center" vertical="center"/>
      <protection locked="0"/>
    </xf>
    <xf numFmtId="14" fontId="5" fillId="2" borderId="13" xfId="0" applyNumberFormat="1" applyFont="1" applyFill="1" applyBorder="1" applyAlignment="1" applyProtection="1">
      <alignment horizontal="center" vertical="center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90" xfId="0" applyNumberFormat="1" applyFont="1" applyFill="1" applyBorder="1" applyAlignment="1" applyProtection="1">
      <alignment horizontal="center" vertical="center"/>
      <protection locked="0"/>
    </xf>
    <xf numFmtId="0" fontId="55" fillId="8" borderId="91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/>
    </xf>
    <xf numFmtId="0" fontId="5" fillId="4" borderId="92" xfId="0" applyFont="1" applyFill="1" applyBorder="1" applyAlignment="1">
      <alignment horizontal="center" vertical="center"/>
    </xf>
    <xf numFmtId="14" fontId="5" fillId="2" borderId="40" xfId="0" applyNumberFormat="1" applyFont="1" applyFill="1" applyBorder="1" applyAlignment="1" applyProtection="1">
      <alignment horizontal="right" vertical="center"/>
      <protection locked="0"/>
    </xf>
    <xf numFmtId="0" fontId="5" fillId="2" borderId="93" xfId="0" applyNumberFormat="1" applyFont="1" applyFill="1" applyBorder="1" applyAlignment="1" applyProtection="1">
      <alignment horizontal="center" vertical="center"/>
      <protection locked="0"/>
    </xf>
    <xf numFmtId="0" fontId="5" fillId="4" borderId="93" xfId="0" applyFont="1" applyFill="1" applyBorder="1" applyAlignment="1">
      <alignment horizontal="center" vertical="center"/>
    </xf>
    <xf numFmtId="14" fontId="5" fillId="2" borderId="15" xfId="0" applyNumberFormat="1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center"/>
      <protection locked="0"/>
    </xf>
    <xf numFmtId="0" fontId="5" fillId="4" borderId="15" xfId="0" applyFont="1" applyFill="1" applyBorder="1" applyAlignment="1">
      <alignment horizontal="center" vertical="center"/>
    </xf>
    <xf numFmtId="49" fontId="5" fillId="0" borderId="15" xfId="0" applyNumberFormat="1" applyFont="1" applyFill="1" applyBorder="1" applyAlignment="1" applyProtection="1">
      <alignment horizontal="center" vertical="center"/>
      <protection locked="0"/>
    </xf>
    <xf numFmtId="49" fontId="5" fillId="0" borderId="16" xfId="0" applyNumberFormat="1" applyFont="1" applyFill="1" applyBorder="1" applyAlignment="1" applyProtection="1">
      <alignment vertical="center"/>
      <protection locked="0"/>
    </xf>
    <xf numFmtId="0" fontId="55" fillId="8" borderId="89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>
      <alignment horizontal="center" vertical="center"/>
    </xf>
    <xf numFmtId="182" fontId="5" fillId="2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182" fontId="5" fillId="2" borderId="18" xfId="0" applyNumberFormat="1" applyFont="1" applyFill="1" applyBorder="1" applyAlignment="1" applyProtection="1">
      <alignment horizontal="center" vertical="center"/>
      <protection locked="0"/>
    </xf>
    <xf numFmtId="14" fontId="5" fillId="2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0" fontId="56" fillId="2" borderId="1" xfId="0" applyFont="1" applyFill="1" applyBorder="1" applyAlignment="1" applyProtection="1">
      <alignment horizontal="center" vertical="center"/>
      <protection locked="0"/>
    </xf>
    <xf numFmtId="0" fontId="56" fillId="2" borderId="18" xfId="0" applyFont="1" applyFill="1" applyBorder="1" applyAlignment="1" applyProtection="1">
      <alignment horizontal="center" vertical="center"/>
      <protection locked="0"/>
    </xf>
    <xf numFmtId="0" fontId="56" fillId="2" borderId="3" xfId="0" applyFont="1" applyFill="1" applyBorder="1" applyAlignment="1" applyProtection="1">
      <alignment horizontal="center" vertical="center"/>
      <protection locked="0"/>
    </xf>
    <xf numFmtId="0" fontId="56" fillId="2" borderId="90" xfId="0" applyFont="1" applyFill="1" applyBorder="1" applyAlignment="1" applyProtection="1">
      <alignment horizontal="center" vertical="center"/>
      <protection locked="0"/>
    </xf>
    <xf numFmtId="0" fontId="57" fillId="2" borderId="1" xfId="0" applyFont="1" applyFill="1" applyBorder="1" applyAlignment="1" applyProtection="1">
      <alignment horizontal="left" vertical="center" wrapText="1" indent="1"/>
      <protection locked="0"/>
    </xf>
    <xf numFmtId="0" fontId="57" fillId="2" borderId="1" xfId="0" applyFont="1" applyFill="1" applyBorder="1" applyAlignment="1" applyProtection="1">
      <alignment horizontal="left" vertical="center" indent="1"/>
      <protection locked="0"/>
    </xf>
    <xf numFmtId="0" fontId="5" fillId="2" borderId="1" xfId="0" applyFont="1" applyFill="1" applyBorder="1" applyAlignment="1" applyProtection="1">
      <alignment horizontal="left" vertical="center" indent="1"/>
      <protection locked="0"/>
    </xf>
    <xf numFmtId="0" fontId="5" fillId="2" borderId="18" xfId="0" applyFont="1" applyFill="1" applyBorder="1" applyAlignment="1" applyProtection="1">
      <alignment horizontal="left" vertical="center" indent="1"/>
      <protection locked="0"/>
    </xf>
    <xf numFmtId="0" fontId="55" fillId="8" borderId="94" xfId="0" applyFont="1" applyFill="1" applyBorder="1" applyAlignment="1">
      <alignment horizontal="center" vertical="center" wrapText="1"/>
    </xf>
    <xf numFmtId="0" fontId="5" fillId="4" borderId="44" xfId="0" applyFont="1" applyFill="1" applyBorder="1" applyAlignment="1">
      <alignment horizontal="center" vertical="center"/>
    </xf>
    <xf numFmtId="0" fontId="5" fillId="4" borderId="95" xfId="0" applyFont="1" applyFill="1" applyBorder="1" applyAlignment="1">
      <alignment horizontal="center" vertical="center"/>
    </xf>
    <xf numFmtId="49" fontId="5" fillId="2" borderId="43" xfId="0" applyNumberFormat="1" applyFont="1" applyFill="1" applyBorder="1" applyAlignment="1" applyProtection="1">
      <alignment horizontal="center" vertical="center"/>
      <protection locked="0"/>
    </xf>
    <xf numFmtId="0" fontId="5" fillId="4" borderId="43" xfId="0" applyFont="1" applyFill="1" applyBorder="1" applyAlignment="1">
      <alignment horizontal="center" vertical="center"/>
    </xf>
    <xf numFmtId="0" fontId="57" fillId="2" borderId="43" xfId="0" applyFont="1" applyFill="1" applyBorder="1" applyAlignment="1" applyProtection="1">
      <alignment horizontal="left" vertical="center" indent="1"/>
      <protection locked="0"/>
    </xf>
    <xf numFmtId="0" fontId="5" fillId="2" borderId="43" xfId="0" applyFont="1" applyFill="1" applyBorder="1" applyAlignment="1" applyProtection="1">
      <alignment horizontal="left" vertical="center" indent="1"/>
      <protection locked="0"/>
    </xf>
    <xf numFmtId="0" fontId="5" fillId="2" borderId="52" xfId="0" applyFont="1" applyFill="1" applyBorder="1" applyAlignment="1" applyProtection="1">
      <alignment horizontal="left" vertical="center" indent="1"/>
      <protection locked="0"/>
    </xf>
    <xf numFmtId="0" fontId="58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 applyProtection="1">
      <alignment horizontal="center" vertical="center"/>
      <protection locked="0"/>
    </xf>
    <xf numFmtId="0" fontId="59" fillId="3" borderId="26" xfId="0" applyFont="1" applyFill="1" applyBorder="1" applyAlignment="1">
      <alignment horizontal="center" vertical="center"/>
    </xf>
    <xf numFmtId="0" fontId="59" fillId="3" borderId="20" xfId="0" applyFont="1" applyFill="1" applyBorder="1" applyAlignment="1">
      <alignment horizontal="center" vertical="center"/>
    </xf>
    <xf numFmtId="0" fontId="59" fillId="3" borderId="22" xfId="0" applyFont="1" applyFill="1" applyBorder="1" applyAlignment="1">
      <alignment horizontal="center" vertical="center"/>
    </xf>
    <xf numFmtId="0" fontId="60" fillId="4" borderId="23" xfId="0" applyNumberFormat="1" applyFont="1" applyFill="1" applyBorder="1" applyAlignment="1">
      <alignment horizontal="center" vertical="center"/>
    </xf>
    <xf numFmtId="0" fontId="60" fillId="4" borderId="24" xfId="0" applyFont="1" applyFill="1" applyBorder="1" applyAlignment="1">
      <alignment horizontal="center" vertical="center"/>
    </xf>
    <xf numFmtId="0" fontId="60" fillId="4" borderId="96" xfId="0" applyFont="1" applyFill="1" applyBorder="1" applyAlignment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49" fontId="5" fillId="0" borderId="1" xfId="0" applyNumberFormat="1" applyFont="1" applyFill="1" applyBorder="1" applyAlignment="1" applyProtection="1">
      <alignment horizontal="center" vertical="center" wrapText="1"/>
    </xf>
    <xf numFmtId="49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61" fillId="0" borderId="0" xfId="0" applyFont="1" applyFill="1" applyBorder="1" applyAlignment="1">
      <alignment vertical="center"/>
    </xf>
    <xf numFmtId="180" fontId="62" fillId="0" borderId="0" xfId="0" applyNumberFormat="1" applyFont="1" applyFill="1" applyAlignment="1">
      <alignment horizontal="center" vertical="center"/>
    </xf>
    <xf numFmtId="180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97" xfId="0" applyNumberFormat="1" applyFont="1" applyFill="1" applyBorder="1" applyAlignment="1" applyProtection="1">
      <alignment horizontal="center" vertical="center" wrapText="1"/>
    </xf>
    <xf numFmtId="49" fontId="5" fillId="0" borderId="98" xfId="0" applyNumberFormat="1" applyFont="1" applyFill="1" applyBorder="1" applyAlignment="1" applyProtection="1">
      <alignment horizontal="center" vertical="center" wrapText="1"/>
    </xf>
    <xf numFmtId="49" fontId="5" fillId="0" borderId="99" xfId="0" applyNumberFormat="1" applyFont="1" applyFill="1" applyBorder="1" applyAlignment="1" applyProtection="1">
      <alignment horizontal="center" vertical="center" wrapText="1"/>
      <protection locked="0"/>
    </xf>
    <xf numFmtId="49" fontId="5" fillId="0" borderId="100" xfId="0" applyNumberFormat="1" applyFont="1" applyFill="1" applyBorder="1" applyAlignment="1" applyProtection="1">
      <alignment horizontal="center" vertical="center" wrapText="1"/>
      <protection locked="0"/>
    </xf>
    <xf numFmtId="49" fontId="5" fillId="0" borderId="101" xfId="0" applyNumberFormat="1" applyFont="1" applyFill="1" applyBorder="1" applyAlignment="1" applyProtection="1">
      <alignment horizontal="center" vertical="center" wrapText="1"/>
    </xf>
    <xf numFmtId="49" fontId="5" fillId="0" borderId="102" xfId="0" applyNumberFormat="1" applyFont="1" applyFill="1" applyBorder="1" applyAlignment="1" applyProtection="1">
      <alignment horizontal="center" vertical="center" wrapText="1"/>
    </xf>
    <xf numFmtId="0" fontId="5" fillId="0" borderId="3" xfId="0" applyFont="1" applyFill="1" applyBorder="1" applyAlignment="1" applyProtection="1">
      <alignment horizontal="center" vertical="center"/>
      <protection locked="0"/>
    </xf>
    <xf numFmtId="0" fontId="5" fillId="0" borderId="11" xfId="0" applyFont="1" applyFill="1" applyBorder="1" applyAlignment="1" applyProtection="1">
      <alignment horizontal="center" vertical="center"/>
      <protection locked="0"/>
    </xf>
    <xf numFmtId="49" fontId="5" fillId="0" borderId="100" xfId="0" applyNumberFormat="1" applyFont="1" applyFill="1" applyBorder="1" applyAlignment="1" applyProtection="1">
      <alignment vertical="center" wrapText="1"/>
      <protection locked="0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D020301A-B" xfId="49"/>
    <cellStyle name="常规_dg08" xfId="50"/>
    <cellStyle name="常规_Sheet1" xfId="51"/>
    <cellStyle name="常规_报关单1" xfId="52"/>
    <cellStyle name="常规_报关委托书1" xfId="53"/>
    <cellStyle name="样式 1" xfId="54"/>
  </cellStyles>
  <tableStyles count="0" defaultTableStyle="TableStyleMedium2" defaultPivotStyle="PivotStyleLight16"/>
  <colors>
    <mruColors>
      <color rgb="00E2EFDA"/>
      <color rgb="00FF0000"/>
      <color rgb="00C65911"/>
      <color rgb="00305496"/>
      <color rgb="002F75B5"/>
      <color rgb="00FCE4D6"/>
      <color rgb="00DDEBF7"/>
      <color rgb="00FFFFFF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60960</xdr:colOff>
      <xdr:row>6</xdr:row>
      <xdr:rowOff>255905</xdr:rowOff>
    </xdr:from>
    <xdr:to>
      <xdr:col>5</xdr:col>
      <xdr:colOff>1723390</xdr:colOff>
      <xdr:row>18</xdr:row>
      <xdr:rowOff>348615</xdr:rowOff>
    </xdr:to>
    <xdr:pic>
      <xdr:nvPicPr>
        <xdr:cNvPr id="2" name="图片 1" descr="沐星科技电子公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4860" y="2437130"/>
          <a:ext cx="4005580" cy="31534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44450</xdr:colOff>
      <xdr:row>1</xdr:row>
      <xdr:rowOff>0</xdr:rowOff>
    </xdr:from>
    <xdr:to>
      <xdr:col>1</xdr:col>
      <xdr:colOff>527050</xdr:colOff>
      <xdr:row>1</xdr:row>
      <xdr:rowOff>495935</xdr:rowOff>
    </xdr:to>
    <xdr:pic>
      <xdr:nvPicPr>
        <xdr:cNvPr id="128022" name="图片 1" descr="H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5900" y="38100"/>
          <a:ext cx="482600" cy="495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408305</xdr:colOff>
      <xdr:row>6</xdr:row>
      <xdr:rowOff>10795</xdr:rowOff>
    </xdr:from>
    <xdr:to>
      <xdr:col>4</xdr:col>
      <xdr:colOff>1460500</xdr:colOff>
      <xdr:row>19</xdr:row>
      <xdr:rowOff>2540</xdr:rowOff>
    </xdr:to>
    <xdr:pic>
      <xdr:nvPicPr>
        <xdr:cNvPr id="3" name="图片 2" descr="沐星科技电子公章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72845" y="1242695"/>
          <a:ext cx="2710180" cy="21380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20320</xdr:colOff>
      <xdr:row>25</xdr:row>
      <xdr:rowOff>29210</xdr:rowOff>
    </xdr:from>
    <xdr:to>
      <xdr:col>4</xdr:col>
      <xdr:colOff>890905</xdr:colOff>
      <xdr:row>34</xdr:row>
      <xdr:rowOff>44450</xdr:rowOff>
    </xdr:to>
    <xdr:pic>
      <xdr:nvPicPr>
        <xdr:cNvPr id="2" name="图片 1" descr="沐星科技电子公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33855" y="6014085"/>
          <a:ext cx="2553335" cy="20154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615950</xdr:colOff>
      <xdr:row>13</xdr:row>
      <xdr:rowOff>138430</xdr:rowOff>
    </xdr:from>
    <xdr:to>
      <xdr:col>6</xdr:col>
      <xdr:colOff>136525</xdr:colOff>
      <xdr:row>19</xdr:row>
      <xdr:rowOff>283845</xdr:rowOff>
    </xdr:to>
    <xdr:pic>
      <xdr:nvPicPr>
        <xdr:cNvPr id="2" name="图片 1" descr="沐星科技电子公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85950" y="3211830"/>
          <a:ext cx="2553335" cy="1986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184150</xdr:colOff>
      <xdr:row>62</xdr:row>
      <xdr:rowOff>95250</xdr:rowOff>
    </xdr:from>
    <xdr:to>
      <xdr:col>5</xdr:col>
      <xdr:colOff>673735</xdr:colOff>
      <xdr:row>73</xdr:row>
      <xdr:rowOff>164465</xdr:rowOff>
    </xdr:to>
    <xdr:pic>
      <xdr:nvPicPr>
        <xdr:cNvPr id="2" name="图片 1" descr="沐星科技电子公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3350" y="15763875"/>
          <a:ext cx="2553335" cy="200596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320675</xdr:colOff>
      <xdr:row>15</xdr:row>
      <xdr:rowOff>205105</xdr:rowOff>
    </xdr:from>
    <xdr:to>
      <xdr:col>5</xdr:col>
      <xdr:colOff>645160</xdr:colOff>
      <xdr:row>21</xdr:row>
      <xdr:rowOff>227965</xdr:rowOff>
    </xdr:to>
    <xdr:pic>
      <xdr:nvPicPr>
        <xdr:cNvPr id="2" name="图片 1" descr="沐星科技电子公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5475" y="5349240"/>
          <a:ext cx="2553335" cy="20154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1482725</xdr:colOff>
      <xdr:row>12</xdr:row>
      <xdr:rowOff>206375</xdr:rowOff>
    </xdr:from>
    <xdr:to>
      <xdr:col>5</xdr:col>
      <xdr:colOff>4036060</xdr:colOff>
      <xdr:row>20</xdr:row>
      <xdr:rowOff>189865</xdr:rowOff>
    </xdr:to>
    <xdr:pic>
      <xdr:nvPicPr>
        <xdr:cNvPr id="2" name="图片 1" descr="沐星科技电子公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51625" y="3635375"/>
          <a:ext cx="2553335" cy="201549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50800</xdr:colOff>
      <xdr:row>33</xdr:row>
      <xdr:rowOff>19050</xdr:rowOff>
    </xdr:from>
    <xdr:to>
      <xdr:col>0</xdr:col>
      <xdr:colOff>837565</xdr:colOff>
      <xdr:row>34</xdr:row>
      <xdr:rowOff>50800</xdr:rowOff>
    </xdr:to>
    <xdr:pic>
      <xdr:nvPicPr>
        <xdr:cNvPr id="129046" name="Picture 1" descr="CCB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800" y="9385300"/>
          <a:ext cx="786765" cy="336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686435</xdr:colOff>
      <xdr:row>5</xdr:row>
      <xdr:rowOff>63500</xdr:rowOff>
    </xdr:from>
    <xdr:to>
      <xdr:col>6</xdr:col>
      <xdr:colOff>1061720</xdr:colOff>
      <xdr:row>13</xdr:row>
      <xdr:rowOff>85090</xdr:rowOff>
    </xdr:to>
    <xdr:pic>
      <xdr:nvPicPr>
        <xdr:cNvPr id="2" name="图片 1" descr="沐星科技电子公章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50385" y="1143000"/>
          <a:ext cx="2553335" cy="2015490"/>
        </a:xfrm>
        <a:prstGeom prst="rect">
          <a:avLst/>
        </a:prstGeom>
      </xdr:spPr>
    </xdr:pic>
    <xdr:clientData/>
  </xdr:twoCellAnchor>
  <xdr:twoCellAnchor editAs="oneCell">
    <xdr:from>
      <xdr:col>0</xdr:col>
      <xdr:colOff>168275</xdr:colOff>
      <xdr:row>26</xdr:row>
      <xdr:rowOff>301625</xdr:rowOff>
    </xdr:from>
    <xdr:to>
      <xdr:col>2</xdr:col>
      <xdr:colOff>575310</xdr:colOff>
      <xdr:row>32</xdr:row>
      <xdr:rowOff>154940</xdr:rowOff>
    </xdr:to>
    <xdr:pic>
      <xdr:nvPicPr>
        <xdr:cNvPr id="3" name="图片 2" descr="沐星科技电子公章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8275" y="7315200"/>
          <a:ext cx="2553335" cy="2015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42"/>
    <pageSetUpPr autoPageBreaks="0"/>
  </sheetPr>
  <dimension ref="A2:Y80"/>
  <sheetViews>
    <sheetView showGridLines="0" tabSelected="1" view="pageBreakPreview" zoomScaleNormal="70" topLeftCell="E1" workbookViewId="0">
      <selection activeCell="K10" sqref="K10:L10"/>
    </sheetView>
  </sheetViews>
  <sheetFormatPr defaultColWidth="9" defaultRowHeight="15.75" customHeight="1"/>
  <cols>
    <col min="1" max="1" width="3.91666666666667" style="476" customWidth="1"/>
    <col min="2" max="2" width="5.58333333333333" style="476" customWidth="1"/>
    <col min="3" max="3" width="4.58333333333333" style="476" customWidth="1"/>
    <col min="4" max="4" width="10.5833333333333" style="476" customWidth="1"/>
    <col min="5" max="5" width="15.5833333333333" style="476" customWidth="1"/>
    <col min="6" max="6" width="43" style="476" customWidth="1"/>
    <col min="7" max="7" width="13.5833333333333" style="476" customWidth="1"/>
    <col min="8" max="9" width="9.58333333333333" style="476" customWidth="1"/>
    <col min="10" max="10" width="13.5833333333333" style="476" customWidth="1"/>
    <col min="11" max="11" width="12.625" style="476" customWidth="1"/>
    <col min="12" max="12" width="11.5833333333333" style="476" customWidth="1"/>
    <col min="13" max="15" width="10.5833333333333" style="476" customWidth="1"/>
    <col min="16" max="16384" width="9" style="476"/>
  </cols>
  <sheetData>
    <row r="2" ht="45" customHeight="1" spans="1:25">
      <c r="B2" s="477" t="s">
        <v>0</v>
      </c>
      <c r="C2" s="478"/>
      <c r="D2" s="478"/>
      <c r="E2" s="478"/>
      <c r="F2" s="478"/>
      <c r="G2" s="478"/>
      <c r="H2" s="478"/>
      <c r="I2" s="478"/>
      <c r="J2" s="478"/>
      <c r="K2" s="478"/>
      <c r="L2" s="479"/>
    </row>
    <row r="3" s="475" customFormat="1" ht="21" customHeight="1" spans="1:25">
      <c r="A3" s="476"/>
      <c r="B3" s="480" t="s">
        <v>1</v>
      </c>
      <c r="C3" s="481"/>
      <c r="D3" s="482"/>
      <c r="E3" s="483"/>
      <c r="F3" s="481" t="s">
        <v>2</v>
      </c>
      <c r="G3" s="484">
        <v>46115</v>
      </c>
      <c r="H3" s="485" t="s">
        <v>3</v>
      </c>
      <c r="I3" s="486"/>
      <c r="J3" s="486"/>
      <c r="K3" s="486"/>
      <c r="L3" s="487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</row>
    <row r="4" ht="28" customHeight="1" spans="1:25">
      <c r="B4" s="488" t="s">
        <v>4</v>
      </c>
      <c r="C4" s="489" t="s">
        <v>5</v>
      </c>
      <c r="D4" s="490"/>
      <c r="E4" s="491" t="s">
        <v>6</v>
      </c>
      <c r="F4" s="492"/>
      <c r="G4" s="493" t="s">
        <v>7</v>
      </c>
      <c r="H4" s="491" t="s">
        <v>8</v>
      </c>
      <c r="I4" s="494"/>
      <c r="J4" s="494"/>
      <c r="K4" s="494"/>
      <c r="L4" s="495"/>
    </row>
    <row r="5" s="475" customFormat="1" ht="41" customHeight="1" spans="1:25">
      <c r="A5" s="476"/>
      <c r="B5" s="488"/>
      <c r="C5" s="496" t="s">
        <v>9</v>
      </c>
      <c r="D5" s="497"/>
      <c r="E5" s="498" t="s">
        <v>10</v>
      </c>
      <c r="F5" s="499"/>
      <c r="G5" s="500" t="s">
        <v>11</v>
      </c>
      <c r="H5" s="501" t="s">
        <v>12</v>
      </c>
      <c r="I5" s="502"/>
      <c r="J5" s="502"/>
      <c r="K5" s="502"/>
      <c r="L5" s="503"/>
      <c r="M5" s="476"/>
      <c r="N5" s="476"/>
      <c r="O5" s="476"/>
      <c r="P5" s="476"/>
      <c r="Q5" s="476"/>
      <c r="R5" s="476"/>
      <c r="S5" s="476"/>
      <c r="T5" s="476"/>
      <c r="U5" s="476"/>
      <c r="V5" s="476"/>
      <c r="W5" s="476"/>
      <c r="X5" s="476"/>
      <c r="Y5" s="476"/>
    </row>
    <row r="6" s="475" customFormat="1" ht="21" customHeight="1" spans="1:25">
      <c r="A6" s="476"/>
      <c r="B6" s="488"/>
      <c r="C6" s="496" t="s">
        <v>13</v>
      </c>
      <c r="D6" s="497"/>
      <c r="E6" s="498" t="s">
        <v>10</v>
      </c>
      <c r="F6" s="499"/>
      <c r="G6" s="500" t="s">
        <v>14</v>
      </c>
      <c r="H6" s="504"/>
      <c r="I6" s="502"/>
      <c r="J6" s="502"/>
      <c r="K6" s="505"/>
      <c r="L6" s="506"/>
      <c r="M6" s="476"/>
      <c r="N6" s="476"/>
      <c r="O6" s="476"/>
      <c r="P6" s="476"/>
      <c r="Q6" s="476"/>
      <c r="R6" s="476"/>
      <c r="S6" s="476"/>
      <c r="T6" s="476"/>
      <c r="U6" s="476"/>
      <c r="V6" s="476"/>
      <c r="W6" s="476"/>
      <c r="X6" s="476"/>
      <c r="Y6" s="476"/>
    </row>
    <row r="7" s="475" customFormat="1" ht="21" customHeight="1" spans="1:25">
      <c r="A7" s="476"/>
      <c r="B7" s="488"/>
      <c r="C7" s="496" t="s">
        <v>11</v>
      </c>
      <c r="D7" s="497"/>
      <c r="E7" s="501" t="s">
        <v>15</v>
      </c>
      <c r="F7" s="507"/>
      <c r="G7" s="508" t="s">
        <v>16</v>
      </c>
      <c r="H7" s="504"/>
      <c r="I7" s="502"/>
      <c r="J7" s="502"/>
      <c r="K7" s="502"/>
      <c r="L7" s="503"/>
      <c r="M7" s="476"/>
      <c r="N7" s="476"/>
      <c r="O7" s="476"/>
      <c r="P7" s="476"/>
      <c r="Q7" s="476"/>
      <c r="R7" s="476"/>
      <c r="S7" s="476"/>
      <c r="T7" s="476"/>
      <c r="U7" s="476"/>
      <c r="V7" s="476"/>
      <c r="W7" s="476"/>
      <c r="X7" s="476"/>
      <c r="Y7" s="476"/>
    </row>
    <row r="8" s="475" customFormat="1" ht="21" customHeight="1" spans="1:25">
      <c r="A8" s="476"/>
      <c r="B8" s="488"/>
      <c r="C8" s="496" t="s">
        <v>14</v>
      </c>
      <c r="D8" s="497"/>
      <c r="E8" s="509"/>
      <c r="F8" s="510"/>
      <c r="G8" s="497" t="s">
        <v>9</v>
      </c>
      <c r="H8" s="498"/>
      <c r="I8" s="511"/>
      <c r="J8" s="511"/>
      <c r="K8" s="511"/>
      <c r="L8" s="512"/>
      <c r="M8" s="476"/>
      <c r="N8" s="476"/>
      <c r="O8" s="476"/>
      <c r="P8" s="476"/>
      <c r="Q8" s="476"/>
      <c r="R8" s="476"/>
      <c r="S8" s="476"/>
      <c r="T8" s="476"/>
      <c r="U8" s="476"/>
      <c r="V8" s="476"/>
      <c r="W8" s="476"/>
      <c r="X8" s="476"/>
      <c r="Y8" s="476"/>
    </row>
    <row r="9" ht="21" customHeight="1" spans="1:25">
      <c r="B9" s="513" t="s">
        <v>17</v>
      </c>
      <c r="C9" s="514" t="s">
        <v>18</v>
      </c>
      <c r="D9" s="515"/>
      <c r="E9" s="516"/>
      <c r="F9" s="517"/>
      <c r="G9" s="518" t="s">
        <v>19</v>
      </c>
      <c r="H9" s="519" t="s">
        <v>20</v>
      </c>
      <c r="I9" s="520"/>
      <c r="J9" s="521" t="s">
        <v>21</v>
      </c>
      <c r="K9" s="522" t="s">
        <v>22</v>
      </c>
      <c r="L9" s="523"/>
    </row>
    <row r="10" ht="21" customHeight="1" spans="1:25">
      <c r="B10" s="524"/>
      <c r="C10" s="525" t="s">
        <v>23</v>
      </c>
      <c r="D10" s="526"/>
      <c r="E10" s="527"/>
      <c r="F10" s="527"/>
      <c r="G10" s="528" t="s">
        <v>24</v>
      </c>
      <c r="H10" s="529" t="s">
        <v>25</v>
      </c>
      <c r="I10" s="529"/>
      <c r="J10" s="528" t="s">
        <v>26</v>
      </c>
      <c r="K10" s="504">
        <f>G3-22</f>
        <v>46093</v>
      </c>
      <c r="L10" s="503"/>
    </row>
    <row r="11" ht="21" customHeight="1" spans="1:25">
      <c r="B11" s="524"/>
      <c r="C11" s="525" t="s">
        <v>27</v>
      </c>
      <c r="D11" s="526"/>
      <c r="E11" s="527" t="s">
        <v>28</v>
      </c>
      <c r="F11" s="527"/>
      <c r="G11" s="528" t="s">
        <v>29</v>
      </c>
      <c r="H11" s="530" t="s">
        <v>30</v>
      </c>
      <c r="I11" s="530"/>
      <c r="J11" s="528" t="s">
        <v>31</v>
      </c>
      <c r="K11" s="529" t="s">
        <v>32</v>
      </c>
      <c r="L11" s="531"/>
    </row>
    <row r="12" ht="21" customHeight="1" spans="1:25">
      <c r="B12" s="524"/>
      <c r="C12" s="525" t="s">
        <v>33</v>
      </c>
      <c r="D12" s="526"/>
      <c r="E12" s="532"/>
      <c r="F12" s="532"/>
      <c r="G12" s="528" t="s">
        <v>34</v>
      </c>
      <c r="H12" s="530"/>
      <c r="I12" s="530"/>
      <c r="J12" s="528" t="s">
        <v>35</v>
      </c>
      <c r="K12" s="504" t="s">
        <v>36</v>
      </c>
      <c r="L12" s="503"/>
    </row>
    <row r="13" ht="21" customHeight="1" spans="1:25">
      <c r="B13" s="524"/>
      <c r="C13" s="525" t="s">
        <v>37</v>
      </c>
      <c r="D13" s="526"/>
      <c r="E13" s="532" t="s">
        <v>38</v>
      </c>
      <c r="F13" s="532"/>
      <c r="G13" s="528" t="s">
        <v>39</v>
      </c>
      <c r="H13" s="530"/>
      <c r="I13" s="530"/>
      <c r="J13" s="528" t="s">
        <v>40</v>
      </c>
      <c r="K13" s="530" t="s">
        <v>41</v>
      </c>
      <c r="L13" s="533"/>
    </row>
    <row r="14" ht="21" customHeight="1" spans="1:25">
      <c r="B14" s="524"/>
      <c r="C14" s="525" t="s">
        <v>42</v>
      </c>
      <c r="D14" s="526"/>
      <c r="E14" s="530" t="s">
        <v>43</v>
      </c>
      <c r="F14" s="530"/>
      <c r="G14" s="528" t="s">
        <v>44</v>
      </c>
      <c r="H14" s="530" t="s">
        <v>45</v>
      </c>
      <c r="I14" s="530"/>
      <c r="J14" s="528" t="s">
        <v>46</v>
      </c>
      <c r="K14" s="534" t="s">
        <v>47</v>
      </c>
      <c r="L14" s="535"/>
    </row>
    <row r="15" ht="21" customHeight="1" spans="1:25">
      <c r="B15" s="524"/>
      <c r="C15" s="525" t="s">
        <v>48</v>
      </c>
      <c r="D15" s="526"/>
      <c r="E15" s="532"/>
      <c r="F15" s="532"/>
      <c r="G15" s="528" t="s">
        <v>49</v>
      </c>
      <c r="H15" s="530"/>
      <c r="I15" s="530"/>
      <c r="J15" s="528" t="s">
        <v>50</v>
      </c>
      <c r="K15" s="536" t="s">
        <v>51</v>
      </c>
      <c r="L15" s="537"/>
    </row>
    <row r="16" ht="21" customHeight="1" spans="1:25">
      <c r="B16" s="524"/>
      <c r="C16" s="525" t="s">
        <v>52</v>
      </c>
      <c r="D16" s="526"/>
      <c r="E16" s="532"/>
      <c r="F16" s="532"/>
      <c r="G16" s="528" t="s">
        <v>53</v>
      </c>
      <c r="H16" s="538" t="s">
        <v>54</v>
      </c>
      <c r="I16" s="539"/>
      <c r="J16" s="528" t="s">
        <v>55</v>
      </c>
      <c r="K16" s="540" t="s">
        <v>56</v>
      </c>
      <c r="L16" s="541"/>
    </row>
    <row r="17" ht="21" customHeight="1" spans="2:14">
      <c r="B17" s="542"/>
      <c r="C17" s="543" t="s">
        <v>57</v>
      </c>
      <c r="D17" s="544"/>
      <c r="E17" s="545"/>
      <c r="F17" s="545"/>
      <c r="G17" s="546"/>
      <c r="H17" s="547"/>
      <c r="I17" s="547"/>
      <c r="J17" s="546"/>
      <c r="K17" s="548"/>
      <c r="L17" s="549"/>
    </row>
    <row r="18" ht="10" customHeight="1" spans="2:14">
      <c r="B18" s="550"/>
      <c r="E18" s="551"/>
      <c r="F18" s="551"/>
      <c r="H18" s="551"/>
      <c r="I18" s="551"/>
      <c r="K18" s="551"/>
      <c r="L18" s="551"/>
    </row>
    <row r="19" ht="30" customHeight="1" spans="2:14">
      <c r="B19" s="552" t="s">
        <v>58</v>
      </c>
      <c r="C19" s="553"/>
      <c r="D19" s="553"/>
      <c r="E19" s="553"/>
      <c r="F19" s="553"/>
      <c r="G19" s="553"/>
      <c r="H19" s="553"/>
      <c r="I19" s="553"/>
      <c r="J19" s="553"/>
      <c r="K19" s="553"/>
      <c r="L19" s="554"/>
    </row>
    <row r="20" ht="21" customHeight="1" spans="2:14">
      <c r="B20" s="555" t="s">
        <v>59</v>
      </c>
      <c r="C20" s="556" t="s">
        <v>60</v>
      </c>
      <c r="D20" s="556"/>
      <c r="E20" s="556" t="s">
        <v>61</v>
      </c>
      <c r="F20" s="556"/>
      <c r="G20" s="556" t="s">
        <v>62</v>
      </c>
      <c r="H20" s="556" t="s">
        <v>63</v>
      </c>
      <c r="I20" s="556" t="s">
        <v>64</v>
      </c>
      <c r="J20" s="556" t="s">
        <v>65</v>
      </c>
      <c r="K20" s="556" t="s">
        <v>66</v>
      </c>
      <c r="L20" s="557" t="s">
        <v>67</v>
      </c>
    </row>
    <row r="21" ht="21" customHeight="1" spans="2:14">
      <c r="B21" s="558">
        <v>1</v>
      </c>
      <c r="C21" s="559"/>
      <c r="D21" s="560"/>
      <c r="E21" s="561"/>
      <c r="F21" s="561"/>
      <c r="G21" s="562">
        <v>1</v>
      </c>
      <c r="H21" s="558">
        <f>G21*1</f>
        <v>1</v>
      </c>
      <c r="I21" s="558">
        <f>H21-G21</f>
        <v>0</v>
      </c>
      <c r="J21" s="562">
        <f>G21*1</f>
        <v>1</v>
      </c>
      <c r="K21" s="558" t="s">
        <v>68</v>
      </c>
      <c r="L21" s="563"/>
    </row>
    <row r="22" ht="21" customHeight="1" spans="2:14">
      <c r="B22" s="558"/>
      <c r="C22" s="560"/>
      <c r="D22" s="560"/>
      <c r="E22" s="558"/>
      <c r="F22" s="558"/>
      <c r="G22" s="562"/>
      <c r="H22" s="558"/>
      <c r="I22" s="558"/>
      <c r="J22" s="562"/>
      <c r="K22" s="558"/>
      <c r="L22" s="563"/>
      <c r="N22" s="564"/>
    </row>
    <row r="23" ht="21" customHeight="1" spans="2:14">
      <c r="B23" s="558">
        <v>2</v>
      </c>
      <c r="C23" s="559"/>
      <c r="D23" s="560"/>
      <c r="E23" s="561"/>
      <c r="F23" s="561"/>
      <c r="G23" s="562">
        <v>1</v>
      </c>
      <c r="H23" s="558">
        <f>G23*1</f>
        <v>1</v>
      </c>
      <c r="I23" s="558">
        <f>H23-G23</f>
        <v>0</v>
      </c>
      <c r="J23" s="562">
        <f>G23*1</f>
        <v>1</v>
      </c>
      <c r="K23" s="558" t="s">
        <v>68</v>
      </c>
      <c r="L23" s="565"/>
      <c r="N23" s="564"/>
    </row>
    <row r="24" ht="21" customHeight="1" spans="2:14">
      <c r="B24" s="558"/>
      <c r="C24" s="560"/>
      <c r="D24" s="560"/>
      <c r="E24" s="558"/>
      <c r="F24" s="558"/>
      <c r="G24" s="562"/>
      <c r="H24" s="558"/>
      <c r="I24" s="558"/>
      <c r="J24" s="562"/>
      <c r="K24" s="558"/>
      <c r="L24" s="565"/>
      <c r="N24" s="564"/>
    </row>
    <row r="25" ht="21" customHeight="1" spans="2:14">
      <c r="B25" s="558">
        <v>3</v>
      </c>
      <c r="C25" s="559"/>
      <c r="D25" s="560"/>
      <c r="E25" s="561"/>
      <c r="F25" s="561"/>
      <c r="G25" s="562">
        <v>1</v>
      </c>
      <c r="H25" s="558">
        <f>G25*1</f>
        <v>1</v>
      </c>
      <c r="I25" s="558">
        <f>H25-G25</f>
        <v>0</v>
      </c>
      <c r="J25" s="562">
        <f>G25*1</f>
        <v>1</v>
      </c>
      <c r="K25" s="558" t="s">
        <v>68</v>
      </c>
      <c r="L25" s="563"/>
      <c r="N25" s="564"/>
    </row>
    <row r="26" ht="21" customHeight="1" spans="2:14">
      <c r="B26" s="558"/>
      <c r="C26" s="560"/>
      <c r="D26" s="560"/>
      <c r="E26" s="558"/>
      <c r="F26" s="558"/>
      <c r="G26" s="562"/>
      <c r="H26" s="558"/>
      <c r="I26" s="558"/>
      <c r="J26" s="562"/>
      <c r="K26" s="558"/>
      <c r="L26" s="563"/>
      <c r="N26" s="564"/>
    </row>
    <row r="27" ht="21" customHeight="1" spans="2:14">
      <c r="B27" s="558">
        <v>4</v>
      </c>
      <c r="C27" s="559"/>
      <c r="D27" s="560"/>
      <c r="E27" s="561"/>
      <c r="F27" s="561"/>
      <c r="G27" s="562">
        <v>1</v>
      </c>
      <c r="H27" s="558">
        <f>G27*1</f>
        <v>1</v>
      </c>
      <c r="I27" s="558">
        <f>H27-G27</f>
        <v>0</v>
      </c>
      <c r="J27" s="562">
        <f>G27*1</f>
        <v>1</v>
      </c>
      <c r="K27" s="558" t="s">
        <v>68</v>
      </c>
      <c r="L27" s="563"/>
      <c r="N27" s="564"/>
    </row>
    <row r="28" ht="21" customHeight="1" spans="2:14">
      <c r="B28" s="558"/>
      <c r="C28" s="560"/>
      <c r="D28" s="560"/>
      <c r="E28" s="558"/>
      <c r="F28" s="558"/>
      <c r="G28" s="562"/>
      <c r="H28" s="558"/>
      <c r="I28" s="558"/>
      <c r="J28" s="562"/>
      <c r="K28" s="558"/>
      <c r="L28" s="563"/>
      <c r="N28" s="564"/>
    </row>
    <row r="29" ht="21" customHeight="1" spans="2:14">
      <c r="B29" s="558">
        <v>5</v>
      </c>
      <c r="C29" s="559"/>
      <c r="D29" s="560"/>
      <c r="E29" s="561"/>
      <c r="F29" s="561"/>
      <c r="G29" s="562">
        <v>1</v>
      </c>
      <c r="H29" s="558">
        <f>G29*1</f>
        <v>1</v>
      </c>
      <c r="I29" s="558">
        <f>H29-G29</f>
        <v>0</v>
      </c>
      <c r="J29" s="562">
        <f>G29*1</f>
        <v>1</v>
      </c>
      <c r="K29" s="558" t="s">
        <v>68</v>
      </c>
      <c r="L29" s="563"/>
      <c r="N29" s="564"/>
    </row>
    <row r="30" ht="21" customHeight="1" spans="2:14">
      <c r="B30" s="558"/>
      <c r="C30" s="560"/>
      <c r="D30" s="560"/>
      <c r="E30" s="558"/>
      <c r="F30" s="558"/>
      <c r="G30" s="562"/>
      <c r="H30" s="558"/>
      <c r="I30" s="558"/>
      <c r="J30" s="562"/>
      <c r="K30" s="558"/>
      <c r="L30" s="563"/>
    </row>
    <row r="31" ht="20" customHeight="1" spans="2:14">
      <c r="B31" s="558">
        <v>6</v>
      </c>
      <c r="C31" s="559"/>
      <c r="D31" s="560"/>
      <c r="E31" s="561"/>
      <c r="F31" s="561"/>
      <c r="G31" s="562">
        <v>1</v>
      </c>
      <c r="H31" s="558">
        <f>G31*1</f>
        <v>1</v>
      </c>
      <c r="I31" s="558">
        <f>H31-G31</f>
        <v>0</v>
      </c>
      <c r="J31" s="562">
        <f>G31*1</f>
        <v>1</v>
      </c>
      <c r="K31" s="558" t="s">
        <v>68</v>
      </c>
      <c r="L31" s="563"/>
    </row>
    <row r="32" ht="21" customHeight="1" spans="2:14">
      <c r="B32" s="558"/>
      <c r="C32" s="560"/>
      <c r="D32" s="560"/>
      <c r="E32" s="558"/>
      <c r="F32" s="558"/>
      <c r="G32" s="562"/>
      <c r="H32" s="558"/>
      <c r="I32" s="558"/>
      <c r="J32" s="562"/>
      <c r="K32" s="558"/>
      <c r="L32" s="563"/>
    </row>
    <row r="33" ht="21" customHeight="1" spans="2:14">
      <c r="B33" s="558">
        <v>7</v>
      </c>
      <c r="C33" s="559"/>
      <c r="D33" s="560"/>
      <c r="E33" s="561"/>
      <c r="F33" s="561"/>
      <c r="G33" s="562">
        <v>1</v>
      </c>
      <c r="H33" s="558">
        <f>G33*1</f>
        <v>1</v>
      </c>
      <c r="I33" s="558">
        <f>H33-G33</f>
        <v>0</v>
      </c>
      <c r="J33" s="562">
        <f>G33*1</f>
        <v>1</v>
      </c>
      <c r="K33" s="558" t="s">
        <v>68</v>
      </c>
      <c r="L33" s="563"/>
    </row>
    <row r="34" ht="21" customHeight="1" spans="2:14">
      <c r="B34" s="558"/>
      <c r="C34" s="560"/>
      <c r="D34" s="560"/>
      <c r="E34" s="558"/>
      <c r="F34" s="558"/>
      <c r="G34" s="562"/>
      <c r="H34" s="558"/>
      <c r="I34" s="558"/>
      <c r="J34" s="562"/>
      <c r="K34" s="558"/>
      <c r="L34" s="563"/>
      <c r="N34" s="564"/>
    </row>
    <row r="35" ht="21" customHeight="1" spans="2:14">
      <c r="B35" s="558">
        <v>8</v>
      </c>
      <c r="C35" s="559"/>
      <c r="D35" s="560"/>
      <c r="E35" s="561"/>
      <c r="F35" s="561"/>
      <c r="G35" s="562">
        <v>1</v>
      </c>
      <c r="H35" s="558">
        <f>G35*1</f>
        <v>1</v>
      </c>
      <c r="I35" s="558">
        <f>H35-G35</f>
        <v>0</v>
      </c>
      <c r="J35" s="562">
        <f>G35*1</f>
        <v>1</v>
      </c>
      <c r="K35" s="558" t="s">
        <v>68</v>
      </c>
      <c r="L35" s="563"/>
      <c r="N35" s="564"/>
    </row>
    <row r="36" ht="21" customHeight="1" spans="2:14">
      <c r="B36" s="558"/>
      <c r="C36" s="560"/>
      <c r="D36" s="560"/>
      <c r="E36" s="558"/>
      <c r="F36" s="558"/>
      <c r="G36" s="562"/>
      <c r="H36" s="558"/>
      <c r="I36" s="558"/>
      <c r="J36" s="562"/>
      <c r="K36" s="558"/>
      <c r="L36" s="563"/>
      <c r="N36" s="564"/>
    </row>
    <row r="37" ht="21" customHeight="1" spans="2:14">
      <c r="B37" s="558">
        <v>9</v>
      </c>
      <c r="C37" s="559"/>
      <c r="D37" s="560"/>
      <c r="E37" s="561"/>
      <c r="F37" s="561"/>
      <c r="G37" s="562">
        <v>1</v>
      </c>
      <c r="H37" s="558">
        <f>G37*1</f>
        <v>1</v>
      </c>
      <c r="I37" s="558">
        <f>H37-G37</f>
        <v>0</v>
      </c>
      <c r="J37" s="562">
        <f>G37*1</f>
        <v>1</v>
      </c>
      <c r="K37" s="558" t="s">
        <v>68</v>
      </c>
      <c r="L37" s="566"/>
      <c r="N37" s="564"/>
    </row>
    <row r="38" ht="21" customHeight="1" spans="2:14">
      <c r="B38" s="558"/>
      <c r="C38" s="560"/>
      <c r="D38" s="560"/>
      <c r="E38" s="558"/>
      <c r="F38" s="558"/>
      <c r="G38" s="562"/>
      <c r="H38" s="558"/>
      <c r="I38" s="558"/>
      <c r="J38" s="562"/>
      <c r="K38" s="558"/>
      <c r="L38" s="563"/>
      <c r="N38" s="564"/>
    </row>
    <row r="39" ht="21" customHeight="1" spans="2:14">
      <c r="B39" s="558">
        <v>10</v>
      </c>
      <c r="C39" s="567"/>
      <c r="D39" s="568"/>
      <c r="E39" s="569"/>
      <c r="F39" s="570"/>
      <c r="G39" s="562">
        <v>1</v>
      </c>
      <c r="H39" s="558">
        <f>G39*1</f>
        <v>1</v>
      </c>
      <c r="I39" s="558">
        <f>H39-G39</f>
        <v>0</v>
      </c>
      <c r="J39" s="562">
        <f>G39*1</f>
        <v>1</v>
      </c>
      <c r="K39" s="558" t="s">
        <v>68</v>
      </c>
      <c r="L39" s="563"/>
      <c r="N39" s="564"/>
    </row>
    <row r="40" ht="21" customHeight="1" spans="2:14">
      <c r="B40" s="558"/>
      <c r="C40" s="571"/>
      <c r="D40" s="572"/>
      <c r="E40" s="573"/>
      <c r="F40" s="574"/>
      <c r="G40" s="562"/>
      <c r="H40" s="558"/>
      <c r="I40" s="558"/>
      <c r="J40" s="562"/>
      <c r="K40" s="558"/>
      <c r="L40" s="563"/>
      <c r="N40" s="564"/>
    </row>
    <row r="41" ht="21" customHeight="1" spans="2:14">
      <c r="B41" s="558">
        <v>11</v>
      </c>
      <c r="C41" s="567"/>
      <c r="D41" s="568"/>
      <c r="E41" s="569"/>
      <c r="F41" s="570"/>
      <c r="G41" s="562">
        <v>1</v>
      </c>
      <c r="H41" s="558">
        <f>G41*1</f>
        <v>1</v>
      </c>
      <c r="I41" s="558">
        <f>H41-G41</f>
        <v>0</v>
      </c>
      <c r="J41" s="562">
        <f>G41*1</f>
        <v>1</v>
      </c>
      <c r="K41" s="558" t="s">
        <v>68</v>
      </c>
      <c r="L41" s="563"/>
      <c r="N41" s="564"/>
    </row>
    <row r="42" ht="21" customHeight="1" spans="2:14">
      <c r="B42" s="558"/>
      <c r="C42" s="571"/>
      <c r="D42" s="572"/>
      <c r="E42" s="573"/>
      <c r="F42" s="574"/>
      <c r="G42" s="562"/>
      <c r="H42" s="558"/>
      <c r="I42" s="558"/>
      <c r="J42" s="562"/>
      <c r="K42" s="558"/>
      <c r="L42" s="563"/>
    </row>
    <row r="43" ht="20" customHeight="1" spans="2:14">
      <c r="B43" s="558">
        <v>12</v>
      </c>
      <c r="C43" s="567"/>
      <c r="D43" s="568"/>
      <c r="E43" s="561"/>
      <c r="F43" s="561"/>
      <c r="G43" s="562">
        <v>1</v>
      </c>
      <c r="H43" s="558">
        <f>G43*1</f>
        <v>1</v>
      </c>
      <c r="I43" s="558">
        <f>H43-G43</f>
        <v>0</v>
      </c>
      <c r="J43" s="562">
        <f>G43*1</f>
        <v>1</v>
      </c>
      <c r="K43" s="558" t="s">
        <v>68</v>
      </c>
      <c r="L43" s="563"/>
    </row>
    <row r="44" ht="21" customHeight="1" spans="2:14">
      <c r="B44" s="558"/>
      <c r="C44" s="571"/>
      <c r="D44" s="572"/>
      <c r="E44" s="558"/>
      <c r="F44" s="558"/>
      <c r="G44" s="562"/>
      <c r="H44" s="558"/>
      <c r="I44" s="558"/>
      <c r="J44" s="562"/>
      <c r="K44" s="558"/>
      <c r="L44" s="563"/>
    </row>
    <row r="45" ht="21" customHeight="1" spans="2:14">
      <c r="B45" s="558">
        <v>13</v>
      </c>
      <c r="C45" s="559"/>
      <c r="D45" s="560"/>
      <c r="E45" s="561"/>
      <c r="F45" s="561"/>
      <c r="G45" s="562">
        <v>1</v>
      </c>
      <c r="H45" s="558">
        <f>G45*1</f>
        <v>1</v>
      </c>
      <c r="I45" s="558">
        <f>H45-G45</f>
        <v>0</v>
      </c>
      <c r="J45" s="562">
        <f>G45*1</f>
        <v>1</v>
      </c>
      <c r="K45" s="558" t="s">
        <v>68</v>
      </c>
      <c r="L45" s="563"/>
    </row>
    <row r="46" ht="21" customHeight="1" spans="2:14">
      <c r="B46" s="558"/>
      <c r="C46" s="560"/>
      <c r="D46" s="560"/>
      <c r="E46" s="558"/>
      <c r="F46" s="558"/>
      <c r="G46" s="562"/>
      <c r="H46" s="558"/>
      <c r="I46" s="558"/>
      <c r="J46" s="562"/>
      <c r="K46" s="558"/>
      <c r="L46" s="563"/>
      <c r="N46" s="564"/>
    </row>
    <row r="47" ht="21" customHeight="1" spans="2:14">
      <c r="B47" s="558">
        <v>14</v>
      </c>
      <c r="C47" s="559"/>
      <c r="D47" s="560"/>
      <c r="E47" s="561"/>
      <c r="F47" s="561"/>
      <c r="G47" s="562">
        <v>1</v>
      </c>
      <c r="H47" s="558">
        <f>G47*1</f>
        <v>1</v>
      </c>
      <c r="I47" s="558">
        <f>H47-G47</f>
        <v>0</v>
      </c>
      <c r="J47" s="562">
        <f>G47*1</f>
        <v>1</v>
      </c>
      <c r="K47" s="558" t="s">
        <v>68</v>
      </c>
      <c r="L47" s="563"/>
      <c r="N47" s="564"/>
    </row>
    <row r="48" ht="21" customHeight="1" spans="2:14">
      <c r="B48" s="558"/>
      <c r="C48" s="560"/>
      <c r="D48" s="560"/>
      <c r="E48" s="558"/>
      <c r="F48" s="558"/>
      <c r="G48" s="562"/>
      <c r="H48" s="558"/>
      <c r="I48" s="558"/>
      <c r="J48" s="562"/>
      <c r="K48" s="558"/>
      <c r="L48" s="563"/>
      <c r="N48" s="564"/>
    </row>
    <row r="49" ht="21" customHeight="1" spans="2:14">
      <c r="B49" s="558">
        <v>15</v>
      </c>
      <c r="C49" s="559"/>
      <c r="D49" s="560"/>
      <c r="E49" s="561"/>
      <c r="F49" s="561"/>
      <c r="G49" s="562">
        <v>1</v>
      </c>
      <c r="H49" s="558">
        <f>G49*1</f>
        <v>1</v>
      </c>
      <c r="I49" s="558">
        <f>H49-G49</f>
        <v>0</v>
      </c>
      <c r="J49" s="562">
        <f>G49*1</f>
        <v>1</v>
      </c>
      <c r="K49" s="558" t="s">
        <v>68</v>
      </c>
      <c r="L49" s="563"/>
      <c r="N49" s="564"/>
    </row>
    <row r="50" ht="21" customHeight="1" spans="2:14">
      <c r="B50" s="558"/>
      <c r="C50" s="560"/>
      <c r="D50" s="560"/>
      <c r="E50" s="558"/>
      <c r="F50" s="558"/>
      <c r="G50" s="562"/>
      <c r="H50" s="558"/>
      <c r="I50" s="558"/>
      <c r="J50" s="562"/>
      <c r="K50" s="558"/>
      <c r="L50" s="563"/>
      <c r="N50" s="564"/>
    </row>
    <row r="51" ht="21" customHeight="1" spans="2:14">
      <c r="B51" s="558">
        <v>16</v>
      </c>
      <c r="C51" s="559"/>
      <c r="D51" s="560"/>
      <c r="E51" s="561"/>
      <c r="F51" s="561"/>
      <c r="G51" s="562">
        <v>1</v>
      </c>
      <c r="H51" s="558">
        <f>G51*1</f>
        <v>1</v>
      </c>
      <c r="I51" s="558">
        <f>H51-G51</f>
        <v>0</v>
      </c>
      <c r="J51" s="562">
        <f>G51*1</f>
        <v>1</v>
      </c>
      <c r="K51" s="558" t="s">
        <v>68</v>
      </c>
      <c r="L51" s="563"/>
      <c r="N51" s="564"/>
    </row>
    <row r="52" ht="21" customHeight="1" spans="2:14">
      <c r="B52" s="558"/>
      <c r="C52" s="560"/>
      <c r="D52" s="560"/>
      <c r="E52" s="558"/>
      <c r="F52" s="558"/>
      <c r="G52" s="562"/>
      <c r="H52" s="558"/>
      <c r="I52" s="558"/>
      <c r="J52" s="562"/>
      <c r="K52" s="558"/>
      <c r="L52" s="563"/>
      <c r="N52" s="564"/>
    </row>
    <row r="53" ht="21" customHeight="1" spans="2:14">
      <c r="B53" s="558">
        <v>17</v>
      </c>
      <c r="C53" s="559"/>
      <c r="D53" s="560"/>
      <c r="E53" s="561"/>
      <c r="F53" s="561"/>
      <c r="G53" s="562">
        <v>1</v>
      </c>
      <c r="H53" s="558">
        <f>G53*1</f>
        <v>1</v>
      </c>
      <c r="I53" s="558">
        <f>H53-G53</f>
        <v>0</v>
      </c>
      <c r="J53" s="562">
        <f>G53*1</f>
        <v>1</v>
      </c>
      <c r="K53" s="558" t="s">
        <v>68</v>
      </c>
      <c r="L53" s="563"/>
      <c r="N53" s="564"/>
    </row>
    <row r="54" ht="21" customHeight="1" spans="2:14">
      <c r="B54" s="558"/>
      <c r="C54" s="560"/>
      <c r="D54" s="560"/>
      <c r="E54" s="558"/>
      <c r="F54" s="558"/>
      <c r="G54" s="562"/>
      <c r="H54" s="558"/>
      <c r="I54" s="558"/>
      <c r="J54" s="562"/>
      <c r="K54" s="558"/>
      <c r="L54" s="563"/>
      <c r="N54" s="564"/>
    </row>
    <row r="55" ht="21" customHeight="1" spans="2:14">
      <c r="B55" s="558">
        <v>18</v>
      </c>
      <c r="C55" s="567"/>
      <c r="D55" s="568"/>
      <c r="E55" s="569"/>
      <c r="F55" s="570"/>
      <c r="G55" s="562">
        <v>1</v>
      </c>
      <c r="H55" s="558">
        <f>G55*1</f>
        <v>1</v>
      </c>
      <c r="I55" s="558">
        <f>H55-G55</f>
        <v>0</v>
      </c>
      <c r="J55" s="562">
        <f>G55*1</f>
        <v>1</v>
      </c>
      <c r="K55" s="558" t="s">
        <v>68</v>
      </c>
      <c r="L55" s="563"/>
      <c r="N55" s="564"/>
    </row>
    <row r="56" ht="21" customHeight="1" spans="2:14">
      <c r="B56" s="558"/>
      <c r="C56" s="571"/>
      <c r="D56" s="572"/>
      <c r="E56" s="558"/>
      <c r="F56" s="558"/>
      <c r="G56" s="562"/>
      <c r="H56" s="558"/>
      <c r="I56" s="558"/>
      <c r="J56" s="562"/>
      <c r="K56" s="558"/>
      <c r="L56" s="563"/>
      <c r="N56" s="564"/>
    </row>
    <row r="57" ht="21" customHeight="1" spans="2:14">
      <c r="B57" s="558">
        <v>19</v>
      </c>
      <c r="C57" s="567"/>
      <c r="D57" s="568"/>
      <c r="E57" s="569"/>
      <c r="F57" s="570"/>
      <c r="G57" s="562">
        <v>1</v>
      </c>
      <c r="H57" s="558">
        <f>G57*1</f>
        <v>1</v>
      </c>
      <c r="I57" s="558">
        <f>H57-G57</f>
        <v>0</v>
      </c>
      <c r="J57" s="562">
        <f>G57*1</f>
        <v>1</v>
      </c>
      <c r="K57" s="558" t="s">
        <v>68</v>
      </c>
      <c r="L57" s="563"/>
      <c r="N57" s="564"/>
    </row>
    <row r="58" ht="21" customHeight="1" spans="2:14">
      <c r="B58" s="558"/>
      <c r="C58" s="571"/>
      <c r="D58" s="572"/>
      <c r="E58" s="558"/>
      <c r="F58" s="558"/>
      <c r="G58" s="562"/>
      <c r="H58" s="558"/>
      <c r="I58" s="558"/>
      <c r="J58" s="562"/>
      <c r="K58" s="558"/>
      <c r="L58" s="563"/>
      <c r="N58" s="564"/>
    </row>
    <row r="59" ht="21" customHeight="1" spans="2:14">
      <c r="B59" s="558">
        <v>20</v>
      </c>
      <c r="C59" s="559"/>
      <c r="D59" s="560"/>
      <c r="E59" s="561"/>
      <c r="F59" s="561"/>
      <c r="G59" s="562">
        <v>1</v>
      </c>
      <c r="H59" s="558">
        <f>G59*1</f>
        <v>1</v>
      </c>
      <c r="I59" s="558">
        <f>H59-G59</f>
        <v>0</v>
      </c>
      <c r="J59" s="562">
        <f>G59*1</f>
        <v>1</v>
      </c>
      <c r="K59" s="558" t="s">
        <v>68</v>
      </c>
      <c r="L59" s="563"/>
      <c r="N59" s="564"/>
    </row>
    <row r="60" ht="21" customHeight="1" spans="2:14">
      <c r="B60" s="558"/>
      <c r="C60" s="560"/>
      <c r="D60" s="560"/>
      <c r="E60" s="558"/>
      <c r="F60" s="558"/>
      <c r="G60" s="562"/>
      <c r="H60" s="558"/>
      <c r="I60" s="558"/>
      <c r="J60" s="562"/>
      <c r="K60" s="558"/>
      <c r="L60" s="563"/>
      <c r="N60" s="564"/>
    </row>
    <row r="61" ht="21" customHeight="1" spans="2:14">
      <c r="B61" s="558">
        <v>21</v>
      </c>
      <c r="C61" s="567"/>
      <c r="D61" s="568"/>
      <c r="E61" s="569"/>
      <c r="F61" s="570"/>
      <c r="G61" s="562">
        <v>1</v>
      </c>
      <c r="H61" s="558">
        <f>G61*1</f>
        <v>1</v>
      </c>
      <c r="I61" s="558">
        <f>H61-G61</f>
        <v>0</v>
      </c>
      <c r="J61" s="562">
        <f>G61*1</f>
        <v>1</v>
      </c>
      <c r="K61" s="558" t="s">
        <v>68</v>
      </c>
      <c r="L61" s="563"/>
      <c r="N61" s="564"/>
    </row>
    <row r="62" ht="21" customHeight="1" spans="2:14">
      <c r="B62" s="558"/>
      <c r="C62" s="571"/>
      <c r="D62" s="572"/>
      <c r="E62" s="569"/>
      <c r="F62" s="570"/>
      <c r="G62" s="562"/>
      <c r="H62" s="558"/>
      <c r="I62" s="558"/>
      <c r="J62" s="562"/>
      <c r="K62" s="558"/>
      <c r="L62" s="563"/>
      <c r="N62" s="564"/>
    </row>
    <row r="63" ht="21" customHeight="1" spans="2:14">
      <c r="B63" s="558">
        <v>22</v>
      </c>
      <c r="C63" s="559"/>
      <c r="D63" s="560"/>
      <c r="E63" s="569"/>
      <c r="F63" s="570"/>
      <c r="G63" s="562">
        <v>1</v>
      </c>
      <c r="H63" s="558">
        <f>G63*1</f>
        <v>1</v>
      </c>
      <c r="I63" s="558">
        <f>H63-G63</f>
        <v>0</v>
      </c>
      <c r="J63" s="562">
        <f>G63*1</f>
        <v>1</v>
      </c>
      <c r="K63" s="558" t="s">
        <v>68</v>
      </c>
      <c r="L63" s="563"/>
      <c r="N63" s="564"/>
    </row>
    <row r="64" ht="21" customHeight="1" spans="2:14">
      <c r="B64" s="558"/>
      <c r="C64" s="560"/>
      <c r="D64" s="560"/>
      <c r="E64" s="569"/>
      <c r="F64" s="575"/>
      <c r="G64" s="562"/>
      <c r="H64" s="558"/>
      <c r="I64" s="558"/>
      <c r="J64" s="562"/>
      <c r="K64" s="558"/>
      <c r="L64" s="563"/>
      <c r="N64" s="564"/>
    </row>
    <row r="65" ht="21" customHeight="1" spans="2:14">
      <c r="B65" s="558">
        <v>23</v>
      </c>
      <c r="C65" s="559"/>
      <c r="D65" s="560"/>
      <c r="E65" s="569"/>
      <c r="F65" s="570"/>
      <c r="G65" s="562">
        <v>1</v>
      </c>
      <c r="H65" s="558">
        <f>G65*1</f>
        <v>1</v>
      </c>
      <c r="I65" s="558">
        <f>H65-G65</f>
        <v>0</v>
      </c>
      <c r="J65" s="562">
        <f>G65*1</f>
        <v>1</v>
      </c>
      <c r="K65" s="558" t="s">
        <v>68</v>
      </c>
      <c r="L65" s="563"/>
      <c r="N65" s="564"/>
    </row>
    <row r="66" ht="19" customHeight="1" spans="2:14">
      <c r="B66" s="558"/>
      <c r="C66" s="560"/>
      <c r="D66" s="560"/>
      <c r="E66" s="569"/>
      <c r="F66" s="575"/>
      <c r="G66" s="562"/>
      <c r="H66" s="558"/>
      <c r="I66" s="558"/>
      <c r="J66" s="562"/>
      <c r="K66" s="558"/>
      <c r="L66" s="563"/>
      <c r="N66" s="564"/>
    </row>
    <row r="67" ht="19" customHeight="1" spans="2:14">
      <c r="B67" s="558">
        <v>24</v>
      </c>
      <c r="C67" s="559"/>
      <c r="D67" s="560"/>
      <c r="E67" s="569"/>
      <c r="F67" s="570"/>
      <c r="G67" s="562">
        <v>1</v>
      </c>
      <c r="H67" s="558">
        <f>G67*1</f>
        <v>1</v>
      </c>
      <c r="I67" s="558">
        <f>H67-G67</f>
        <v>0</v>
      </c>
      <c r="J67" s="562">
        <f>G67*1</f>
        <v>1</v>
      </c>
      <c r="K67" s="558" t="s">
        <v>68</v>
      </c>
      <c r="L67" s="563"/>
    </row>
    <row r="68" ht="22" customHeight="1" spans="2:14">
      <c r="B68" s="558"/>
      <c r="C68" s="560"/>
      <c r="D68" s="560"/>
      <c r="E68" s="569"/>
      <c r="F68" s="575"/>
      <c r="G68" s="562"/>
      <c r="H68" s="558"/>
      <c r="I68" s="558"/>
      <c r="J68" s="562"/>
      <c r="K68" s="558"/>
      <c r="L68" s="563"/>
    </row>
    <row r="69" ht="21" customHeight="1" spans="2:14">
      <c r="B69" s="558">
        <v>25</v>
      </c>
      <c r="C69" s="559"/>
      <c r="D69" s="560"/>
      <c r="E69" s="569"/>
      <c r="F69" s="570"/>
      <c r="G69" s="562">
        <v>1</v>
      </c>
      <c r="H69" s="558">
        <f>G69*1</f>
        <v>1</v>
      </c>
      <c r="I69" s="558">
        <f>H69-G69</f>
        <v>0</v>
      </c>
      <c r="J69" s="562">
        <f>G69*1</f>
        <v>1</v>
      </c>
      <c r="K69" s="558" t="s">
        <v>68</v>
      </c>
      <c r="L69" s="563"/>
    </row>
    <row r="70" ht="26" customHeight="1" spans="2:14">
      <c r="B70" s="558"/>
      <c r="C70" s="560"/>
      <c r="D70" s="560"/>
      <c r="E70" s="569"/>
      <c r="F70" s="575"/>
      <c r="G70" s="562"/>
      <c r="H70" s="558"/>
      <c r="I70" s="558"/>
      <c r="J70" s="562"/>
      <c r="K70" s="558"/>
      <c r="L70" s="563"/>
    </row>
    <row r="71" ht="21" customHeight="1" spans="2:14">
      <c r="B71" s="558">
        <v>26</v>
      </c>
      <c r="C71" s="559"/>
      <c r="D71" s="560"/>
      <c r="E71" s="561"/>
      <c r="F71" s="561"/>
      <c r="G71" s="562">
        <v>1</v>
      </c>
      <c r="H71" s="558">
        <f>G71*1</f>
        <v>1</v>
      </c>
      <c r="I71" s="558">
        <f>H71-G71</f>
        <v>0</v>
      </c>
      <c r="J71" s="562">
        <f>G71*1</f>
        <v>1</v>
      </c>
      <c r="K71" s="558" t="s">
        <v>68</v>
      </c>
      <c r="L71" s="563"/>
    </row>
    <row r="72" ht="21" customHeight="1" spans="2:14">
      <c r="B72" s="558"/>
      <c r="C72" s="560"/>
      <c r="D72" s="560"/>
      <c r="E72" s="558"/>
      <c r="F72" s="558"/>
      <c r="G72" s="562"/>
      <c r="H72" s="558"/>
      <c r="I72" s="558"/>
      <c r="J72" s="562"/>
      <c r="K72" s="558"/>
      <c r="L72" s="563"/>
      <c r="N72" s="564"/>
    </row>
    <row r="73" ht="21" customHeight="1" spans="2:14">
      <c r="B73" s="558">
        <v>27</v>
      </c>
      <c r="C73" s="559"/>
      <c r="D73" s="560"/>
      <c r="E73" s="561"/>
      <c r="F73" s="561"/>
      <c r="G73" s="562">
        <v>1</v>
      </c>
      <c r="H73" s="558">
        <f>G73*1</f>
        <v>1</v>
      </c>
      <c r="I73" s="558">
        <f>H73-G73</f>
        <v>0</v>
      </c>
      <c r="J73" s="562">
        <f>G73*1</f>
        <v>1</v>
      </c>
      <c r="K73" s="558" t="s">
        <v>68</v>
      </c>
      <c r="L73" s="563"/>
      <c r="N73" s="564"/>
    </row>
    <row r="74" ht="21" customHeight="1" spans="2:14">
      <c r="B74" s="558"/>
      <c r="C74" s="560"/>
      <c r="D74" s="560"/>
      <c r="E74" s="558"/>
      <c r="F74" s="558"/>
      <c r="G74" s="562"/>
      <c r="H74" s="558"/>
      <c r="I74" s="558"/>
      <c r="J74" s="562"/>
      <c r="K74" s="558"/>
      <c r="L74" s="563"/>
      <c r="N74" s="564"/>
    </row>
    <row r="75" ht="21" customHeight="1" spans="2:14">
      <c r="B75" s="558">
        <v>28</v>
      </c>
      <c r="C75" s="559"/>
      <c r="D75" s="560"/>
      <c r="E75" s="561"/>
      <c r="F75" s="561"/>
      <c r="G75" s="562">
        <v>1</v>
      </c>
      <c r="H75" s="558">
        <f>G75*1</f>
        <v>1</v>
      </c>
      <c r="I75" s="558">
        <f>H75-G75</f>
        <v>0</v>
      </c>
      <c r="J75" s="562">
        <f>G75*1</f>
        <v>1</v>
      </c>
      <c r="K75" s="558" t="s">
        <v>68</v>
      </c>
      <c r="L75" s="563"/>
      <c r="N75" s="564"/>
    </row>
    <row r="76" ht="21" customHeight="1" spans="2:14">
      <c r="B76" s="558"/>
      <c r="C76" s="560"/>
      <c r="D76" s="560"/>
      <c r="E76" s="558"/>
      <c r="F76" s="558"/>
      <c r="G76" s="562"/>
      <c r="H76" s="558"/>
      <c r="I76" s="558"/>
      <c r="J76" s="562"/>
      <c r="K76" s="558"/>
      <c r="L76" s="563"/>
      <c r="N76" s="564"/>
    </row>
    <row r="77" ht="21" customHeight="1" spans="2:14">
      <c r="B77" s="558">
        <v>29</v>
      </c>
      <c r="C77" s="559"/>
      <c r="D77" s="560"/>
      <c r="E77" s="561"/>
      <c r="F77" s="561"/>
      <c r="G77" s="562">
        <v>1</v>
      </c>
      <c r="H77" s="558">
        <f>G77*1</f>
        <v>1</v>
      </c>
      <c r="I77" s="558">
        <f>H77-G77</f>
        <v>0</v>
      </c>
      <c r="J77" s="562">
        <f>G77*1</f>
        <v>1</v>
      </c>
      <c r="K77" s="558" t="s">
        <v>68</v>
      </c>
      <c r="L77" s="563"/>
      <c r="N77" s="564"/>
    </row>
    <row r="78" ht="21" customHeight="1" spans="2:14">
      <c r="B78" s="558"/>
      <c r="C78" s="560"/>
      <c r="D78" s="560"/>
      <c r="E78" s="558"/>
      <c r="F78" s="558"/>
      <c r="G78" s="562"/>
      <c r="H78" s="558"/>
      <c r="I78" s="558"/>
      <c r="J78" s="562"/>
      <c r="K78" s="558"/>
      <c r="L78" s="563"/>
      <c r="N78" s="564"/>
    </row>
    <row r="79" ht="21" customHeight="1" spans="2:14">
      <c r="B79" s="558">
        <v>30</v>
      </c>
      <c r="C79" s="559"/>
      <c r="D79" s="560"/>
      <c r="E79" s="561"/>
      <c r="F79" s="561"/>
      <c r="G79" s="562">
        <v>1</v>
      </c>
      <c r="H79" s="558">
        <f>G79*1</f>
        <v>1</v>
      </c>
      <c r="I79" s="558">
        <f>H79-G79</f>
        <v>0</v>
      </c>
      <c r="J79" s="562">
        <f>G79*1</f>
        <v>1</v>
      </c>
      <c r="K79" s="558" t="s">
        <v>68</v>
      </c>
      <c r="L79" s="563"/>
    </row>
    <row r="80" ht="21" customHeight="1" spans="2:14">
      <c r="B80" s="558"/>
      <c r="C80" s="560"/>
      <c r="D80" s="560"/>
      <c r="E80" s="558"/>
      <c r="F80" s="558"/>
      <c r="G80" s="562"/>
      <c r="H80" s="558"/>
      <c r="I80" s="558"/>
      <c r="J80" s="562"/>
      <c r="K80" s="558"/>
      <c r="L80" s="563"/>
      <c r="N80" s="564"/>
    </row>
  </sheetData>
  <sheetProtection selectLockedCells="1"/>
  <mergeCells count="358">
    <mergeCell ref="B2:L2"/>
    <mergeCell ref="B3:C3"/>
    <mergeCell ref="I3:J3"/>
    <mergeCell ref="K3:L3"/>
    <mergeCell ref="C4:D4"/>
    <mergeCell ref="E4:F4"/>
    <mergeCell ref="H4:L4"/>
    <mergeCell ref="C5:D5"/>
    <mergeCell ref="E5:F5"/>
    <mergeCell ref="H5:L5"/>
    <mergeCell ref="C6:D6"/>
    <mergeCell ref="E6:F6"/>
    <mergeCell ref="H6:J6"/>
    <mergeCell ref="K6:L6"/>
    <mergeCell ref="C7:D7"/>
    <mergeCell ref="E7:F7"/>
    <mergeCell ref="H7:L7"/>
    <mergeCell ref="C8:D8"/>
    <mergeCell ref="H8:L8"/>
    <mergeCell ref="C9:D9"/>
    <mergeCell ref="H9:I9"/>
    <mergeCell ref="K9:L9"/>
    <mergeCell ref="C10:D10"/>
    <mergeCell ref="E10:F10"/>
    <mergeCell ref="H10:I10"/>
    <mergeCell ref="K10:L10"/>
    <mergeCell ref="C11:D11"/>
    <mergeCell ref="E11:F11"/>
    <mergeCell ref="H11:I11"/>
    <mergeCell ref="K11:L11"/>
    <mergeCell ref="C12:D12"/>
    <mergeCell ref="E12:F12"/>
    <mergeCell ref="H12:I12"/>
    <mergeCell ref="K12:L12"/>
    <mergeCell ref="C13:D13"/>
    <mergeCell ref="E13:F13"/>
    <mergeCell ref="H13:I13"/>
    <mergeCell ref="K13:L13"/>
    <mergeCell ref="C14:D14"/>
    <mergeCell ref="E14:F14"/>
    <mergeCell ref="H14:I14"/>
    <mergeCell ref="K14:L14"/>
    <mergeCell ref="C15:D15"/>
    <mergeCell ref="E15:F15"/>
    <mergeCell ref="H15:I15"/>
    <mergeCell ref="K15:L15"/>
    <mergeCell ref="C16:D16"/>
    <mergeCell ref="E16:F16"/>
    <mergeCell ref="C17:D17"/>
    <mergeCell ref="B19:L19"/>
    <mergeCell ref="C20:D20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B4:B8"/>
    <mergeCell ref="B9:B17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G16:G17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H65:H66"/>
    <mergeCell ref="H67:H68"/>
    <mergeCell ref="H69:H70"/>
    <mergeCell ref="H71:H72"/>
    <mergeCell ref="H73:H74"/>
    <mergeCell ref="H75:H76"/>
    <mergeCell ref="H77:H78"/>
    <mergeCell ref="H79:H8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J16:J17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J65:J66"/>
    <mergeCell ref="J67:J68"/>
    <mergeCell ref="J69:J70"/>
    <mergeCell ref="J71:J72"/>
    <mergeCell ref="J73:J74"/>
    <mergeCell ref="J75:J76"/>
    <mergeCell ref="J77:J78"/>
    <mergeCell ref="J79:J8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K77:K78"/>
    <mergeCell ref="K79:K80"/>
    <mergeCell ref="L21:L22"/>
    <mergeCell ref="L23:L24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49:L50"/>
    <mergeCell ref="L51:L52"/>
    <mergeCell ref="L53:L54"/>
    <mergeCell ref="L55:L56"/>
    <mergeCell ref="L57:L58"/>
    <mergeCell ref="L59:L60"/>
    <mergeCell ref="L61:L62"/>
    <mergeCell ref="L63:L64"/>
    <mergeCell ref="L65:L66"/>
    <mergeCell ref="L67:L68"/>
    <mergeCell ref="L69:L70"/>
    <mergeCell ref="L71:L72"/>
    <mergeCell ref="L73:L74"/>
    <mergeCell ref="L75:L76"/>
    <mergeCell ref="L77:L78"/>
    <mergeCell ref="L79:L80"/>
    <mergeCell ref="K16:L17"/>
    <mergeCell ref="H16:I17"/>
    <mergeCell ref="C21:D22"/>
    <mergeCell ref="C27:D28"/>
    <mergeCell ref="C31:D32"/>
    <mergeCell ref="C35:D36"/>
    <mergeCell ref="C45:D46"/>
    <mergeCell ref="C47:D48"/>
    <mergeCell ref="C33:D34"/>
    <mergeCell ref="C37:D38"/>
    <mergeCell ref="C39:D40"/>
    <mergeCell ref="C49:D50"/>
    <mergeCell ref="C51:D52"/>
    <mergeCell ref="C53:D54"/>
    <mergeCell ref="C55:D56"/>
    <mergeCell ref="C57:D58"/>
    <mergeCell ref="C59:D60"/>
    <mergeCell ref="C63:D64"/>
    <mergeCell ref="C61:D62"/>
    <mergeCell ref="C23:D24"/>
    <mergeCell ref="C25:D26"/>
    <mergeCell ref="C29:D30"/>
    <mergeCell ref="C41:D42"/>
    <mergeCell ref="C43:D44"/>
    <mergeCell ref="C65:D66"/>
    <mergeCell ref="C67:D68"/>
    <mergeCell ref="C69:D70"/>
    <mergeCell ref="C71:D72"/>
    <mergeCell ref="C73:D74"/>
    <mergeCell ref="C75:D76"/>
    <mergeCell ref="C77:D78"/>
    <mergeCell ref="C79:D80"/>
  </mergeCells>
  <dataValidations count="8">
    <dataValidation type="list" allowBlank="1" showInputMessage="1" showErrorMessage="1" sqref="H9:I9">
      <formula1>"一般贸易,来料加工,进料对口,保税仓库货物, 保税间货物, 补偿贸易,进料非对口,修理物品,展览品,其他,保税工厂,进料成品退换,料件进出区,区内加工货物,成品进出区"</formula1>
    </dataValidation>
    <dataValidation type="list" allowBlank="1" showInputMessage="1" showErrorMessage="1" sqref="H10:I10">
      <formula1>"来料加工,进料加工,一般征税,中外合资,中外合作,外资企业, "</formula1>
    </dataValidation>
    <dataValidation type="list" allowBlank="1" showInputMessage="1" showErrorMessage="1" sqref="H11:I11">
      <formula1>"照章征税,折半征税,全免, "</formula1>
    </dataValidation>
    <dataValidation type="list" allowBlank="1" showInputMessage="1" showErrorMessage="1" sqref="E14:F14">
      <formula1>"监管仓库,水路运输,铁路运输,公路运输,航空运输,邮件运输,保税区,保税仓库,其它运输,物流中心,物流园区,保税港区,出口加工区"</formula1>
    </dataValidation>
    <dataValidation type="list" allowBlank="1" showInputMessage="1" showErrorMessage="1" sqref="H14:I14">
      <formula1>"散装,裸装,纸制或纤维板制盒/箱,木制或竹藤等植物性材料制盒/箱,其他材料制盒/箱,纸制或纤维板制桶,木制或竹藤等植物性材料制桶,其他材料制桶,球状罐类,包/袋,再生木托,天然木托,其他包装"</formula1>
    </dataValidation>
    <dataValidation type="list" allowBlank="1" showInputMessage="1" showErrorMessage="1" sqref="K14:L14">
      <formula1>"FOB,CIF,C&amp;F,EXW,C&amp;I"</formula1>
    </dataValidation>
    <dataValidation type="list" allowBlank="1" showInputMessage="1" showErrorMessage="1" sqref="K15:L15">
      <formula1>"HKD,USD,CNY"</formula1>
    </dataValidation>
    <dataValidation type="list" allowBlank="1" showInputMessage="1" showErrorMessage="1" sqref="E17">
      <formula1>"1,2, "</formula1>
    </dataValidation>
  </dataValidations>
  <pageMargins left="0.2" right="0.2" top="0.39" bottom="0.39" header="0" footer="0"/>
  <pageSetup paperSize="9" scale="44" orientation="portrait" horizontalDpi="300" verticalDpi="300"/>
  <headerFooter alignWithMargins="0" scaleWithDoc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44"/>
    <pageSetUpPr autoPageBreaks="0"/>
  </sheetPr>
  <dimension ref="A1:X111"/>
  <sheetViews>
    <sheetView showGridLines="0" showZeros="0" view="pageBreakPreview" zoomScaleNormal="100" workbookViewId="0">
      <selection activeCell="H32" sqref="H32:I32"/>
    </sheetView>
  </sheetViews>
  <sheetFormatPr defaultColWidth="9" defaultRowHeight="20" customHeight="1"/>
  <cols>
    <col min="1" max="1" width="2.25" style="342" customWidth="1"/>
    <col min="2" max="2" width="7.78333333333333" style="343" customWidth="1"/>
    <col min="3" max="3" width="10.1416666666667" style="343" customWidth="1"/>
    <col min="4" max="4" width="11.6166666666667" style="343" customWidth="1"/>
    <col min="5" max="5" width="19.9916666666667" style="343" customWidth="1"/>
    <col min="6" max="6" width="15.5833333333333" style="343" customWidth="1"/>
    <col min="7" max="7" width="10.5833333333333" style="343" customWidth="1"/>
    <col min="8" max="8" width="8.95833333333333" style="343" customWidth="1"/>
    <col min="9" max="9" width="4.08333333333333" style="343" customWidth="1"/>
    <col min="10" max="10" width="4.58333333333333" style="343" customWidth="1"/>
    <col min="11" max="11" width="5.58333333333333" style="343" customWidth="1"/>
    <col min="12" max="12" width="9.58333333333333" style="343" customWidth="1"/>
    <col min="13" max="13" width="10.5833333333333" style="343" customWidth="1"/>
    <col min="14" max="14" width="5.58333333333333" style="343" customWidth="1"/>
    <col min="15" max="17" width="7.58333333333333" style="343" customWidth="1"/>
    <col min="18" max="18" width="24.7" style="343" customWidth="1"/>
    <col min="19" max="20" width="9" style="343"/>
    <col min="21" max="21" width="10.5833333333333" style="343" customWidth="1"/>
    <col min="22" max="22" width="5.58333333333333" style="343" customWidth="1"/>
    <col min="23" max="16384" width="9" style="343"/>
  </cols>
  <sheetData>
    <row r="1" ht="3" customHeight="1"/>
    <row r="2" ht="40" customHeight="1" spans="2:21">
      <c r="B2" s="344" t="s">
        <v>69</v>
      </c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5"/>
      <c r="T2" s="345"/>
      <c r="U2" s="345"/>
    </row>
    <row r="3" ht="15" customHeight="1" spans="2:21">
      <c r="B3" s="346" t="s">
        <v>70</v>
      </c>
      <c r="C3" s="346"/>
      <c r="D3" s="346"/>
      <c r="E3" s="346"/>
      <c r="F3" s="346"/>
      <c r="G3" s="346" t="s">
        <v>71</v>
      </c>
      <c r="H3" s="347"/>
      <c r="I3" s="347"/>
      <c r="J3" s="347"/>
      <c r="K3" s="347"/>
      <c r="L3" s="348">
        <f>G5</f>
        <v>0</v>
      </c>
      <c r="M3" s="348"/>
      <c r="N3" s="347"/>
      <c r="O3" s="347"/>
      <c r="P3" s="349" t="s">
        <v>72</v>
      </c>
      <c r="Q3" s="349"/>
      <c r="R3" s="350" t="s">
        <v>73</v>
      </c>
    </row>
    <row r="4" ht="13" customHeight="1" spans="2:21">
      <c r="B4" s="351" t="s">
        <v>5</v>
      </c>
      <c r="C4" s="352"/>
      <c r="D4" s="353" t="str">
        <f>报关资料录入!E5</f>
        <v>91440300MA5F74BQ1L</v>
      </c>
      <c r="E4" s="353"/>
      <c r="F4" s="354"/>
      <c r="G4" s="355" t="s">
        <v>18</v>
      </c>
      <c r="H4" s="353">
        <f>报关资料录入!F9</f>
        <v>0</v>
      </c>
      <c r="I4" s="354"/>
      <c r="J4" s="356" t="s">
        <v>74</v>
      </c>
      <c r="K4" s="352"/>
      <c r="L4" s="357"/>
      <c r="M4" s="355" t="s">
        <v>75</v>
      </c>
      <c r="N4" s="358"/>
      <c r="O4" s="355" t="s">
        <v>34</v>
      </c>
      <c r="P4" s="359"/>
      <c r="Q4" s="359"/>
      <c r="R4" s="360"/>
    </row>
    <row r="5" ht="13" customHeight="1" spans="2:21">
      <c r="B5" s="361" t="str">
        <f>报关资料录入!E4</f>
        <v>深圳市沐星科技有限公司</v>
      </c>
      <c r="C5" s="362"/>
      <c r="D5" s="362"/>
      <c r="E5" s="362"/>
      <c r="F5" s="363"/>
      <c r="G5" s="364">
        <f>报关资料录入!E9</f>
        <v>0</v>
      </c>
      <c r="H5" s="365"/>
      <c r="I5" s="366"/>
      <c r="J5" s="367"/>
      <c r="K5" s="368"/>
      <c r="L5" s="369"/>
      <c r="M5" s="370">
        <f>报关资料录入!G3</f>
        <v>46115</v>
      </c>
      <c r="N5" s="371"/>
      <c r="O5" s="372">
        <f>报关资料录入!H12</f>
        <v>0</v>
      </c>
      <c r="P5" s="373"/>
      <c r="Q5" s="373"/>
      <c r="R5" s="374"/>
    </row>
    <row r="6" ht="13" customHeight="1" spans="2:21">
      <c r="B6" s="375" t="s">
        <v>7</v>
      </c>
      <c r="C6" s="346"/>
      <c r="D6" s="348">
        <f>报关资料录入!K4</f>
        <v>0</v>
      </c>
      <c r="E6" s="348"/>
      <c r="F6" s="376"/>
      <c r="G6" s="377" t="s">
        <v>42</v>
      </c>
      <c r="H6" s="378"/>
      <c r="I6" s="379"/>
      <c r="J6" s="380" t="s">
        <v>76</v>
      </c>
      <c r="K6" s="380"/>
      <c r="L6" s="381"/>
      <c r="M6" s="377" t="s">
        <v>52</v>
      </c>
      <c r="N6" s="378"/>
      <c r="O6" s="378"/>
      <c r="P6" s="378"/>
      <c r="Q6" s="378"/>
      <c r="R6" s="382"/>
    </row>
    <row r="7" ht="13" customHeight="1" spans="2:21">
      <c r="B7" s="361" t="str">
        <f>报关资料录入!H4</f>
        <v>HONG KONG HENGSHUO INTELLIGENT TECHNOLOGY CO., LIMITED</v>
      </c>
      <c r="C7" s="362"/>
      <c r="D7" s="362"/>
      <c r="E7" s="362"/>
      <c r="F7" s="363"/>
      <c r="G7" s="364" t="str">
        <f>报关资料录入!E14</f>
        <v>水路运输</v>
      </c>
      <c r="H7" s="365"/>
      <c r="I7" s="366"/>
      <c r="J7" s="365">
        <f>报关资料录入!E15</f>
        <v>0</v>
      </c>
      <c r="K7" s="365"/>
      <c r="L7" s="366"/>
      <c r="M7" s="364">
        <f>报关资料录入!E16</f>
        <v>0</v>
      </c>
      <c r="N7" s="365"/>
      <c r="O7" s="365"/>
      <c r="P7" s="365"/>
      <c r="Q7" s="365"/>
      <c r="R7" s="383"/>
    </row>
    <row r="8" ht="13" customHeight="1" spans="2:21">
      <c r="B8" s="375" t="s">
        <v>16</v>
      </c>
      <c r="C8" s="346"/>
      <c r="D8" s="348">
        <f>报关资料录入!H8</f>
        <v>0</v>
      </c>
      <c r="E8" s="348"/>
      <c r="F8" s="348"/>
      <c r="G8" s="377" t="s">
        <v>19</v>
      </c>
      <c r="H8" s="378"/>
      <c r="I8" s="379"/>
      <c r="J8" s="384" t="s">
        <v>24</v>
      </c>
      <c r="K8" s="385"/>
      <c r="L8" s="386"/>
      <c r="M8" s="377" t="s">
        <v>39</v>
      </c>
      <c r="N8" s="378"/>
      <c r="O8" s="378"/>
      <c r="P8" s="378"/>
      <c r="Q8" s="378"/>
      <c r="R8" s="382"/>
    </row>
    <row r="9" ht="13" customHeight="1" spans="2:21">
      <c r="B9" s="361">
        <f>报关资料录入!H7</f>
        <v>0</v>
      </c>
      <c r="C9" s="362"/>
      <c r="D9" s="362"/>
      <c r="E9" s="362"/>
      <c r="F9" s="363"/>
      <c r="G9" s="364" t="str">
        <f>报关资料录入!H9</f>
        <v>一般贸易</v>
      </c>
      <c r="H9" s="365"/>
      <c r="I9" s="366"/>
      <c r="J9" s="365" t="str">
        <f>报关资料录入!H10</f>
        <v>一般征税</v>
      </c>
      <c r="K9" s="365"/>
      <c r="L9" s="366"/>
      <c r="M9" s="364">
        <f>报关资料录入!H13</f>
        <v>0</v>
      </c>
      <c r="N9" s="365"/>
      <c r="O9" s="365"/>
      <c r="P9" s="365"/>
      <c r="Q9" s="365"/>
      <c r="R9" s="383"/>
    </row>
    <row r="10" ht="13" customHeight="1" spans="2:21">
      <c r="B10" s="375" t="s">
        <v>21</v>
      </c>
      <c r="C10" s="346"/>
      <c r="D10" s="347"/>
      <c r="E10" s="347"/>
      <c r="F10" s="387"/>
      <c r="G10" s="377" t="s">
        <v>77</v>
      </c>
      <c r="H10" s="378"/>
      <c r="I10" s="379"/>
      <c r="J10" s="388" t="s">
        <v>78</v>
      </c>
      <c r="K10" s="385"/>
      <c r="L10" s="386"/>
      <c r="M10" s="377" t="s">
        <v>33</v>
      </c>
      <c r="N10" s="389"/>
      <c r="O10" s="377" t="s">
        <v>23</v>
      </c>
      <c r="P10" s="390"/>
      <c r="Q10" s="390"/>
      <c r="R10" s="391"/>
    </row>
    <row r="11" ht="13" customHeight="1" spans="2:21">
      <c r="B11" s="361" t="str">
        <f>报关资料录入!K9</f>
        <v>HS-US-20260312</v>
      </c>
      <c r="C11" s="362"/>
      <c r="D11" s="362"/>
      <c r="E11" s="362"/>
      <c r="F11" s="363"/>
      <c r="G11" s="364" t="str">
        <f>报关资料录入!E13</f>
        <v>香港</v>
      </c>
      <c r="H11" s="373"/>
      <c r="I11" s="392"/>
      <c r="J11" s="364" t="str">
        <f>报关资料录入!E11</f>
        <v>美国</v>
      </c>
      <c r="K11" s="365"/>
      <c r="L11" s="366"/>
      <c r="M11" s="364">
        <f>报关资料录入!E12</f>
        <v>0</v>
      </c>
      <c r="N11" s="366"/>
      <c r="O11" s="364">
        <f>报关资料录入!E10</f>
        <v>0</v>
      </c>
      <c r="P11" s="365"/>
      <c r="Q11" s="365"/>
      <c r="R11" s="383"/>
    </row>
    <row r="12" ht="13" customHeight="1" spans="2:21">
      <c r="B12" s="375" t="s">
        <v>79</v>
      </c>
      <c r="C12" s="346"/>
      <c r="D12" s="393"/>
      <c r="E12" s="393"/>
      <c r="F12" s="394"/>
      <c r="G12" s="395" t="s">
        <v>62</v>
      </c>
      <c r="H12" s="396" t="s">
        <v>80</v>
      </c>
      <c r="I12" s="381"/>
      <c r="J12" s="397" t="s">
        <v>81</v>
      </c>
      <c r="K12" s="394"/>
      <c r="L12" s="398" t="s">
        <v>46</v>
      </c>
      <c r="M12" s="377" t="s">
        <v>82</v>
      </c>
      <c r="N12" s="386"/>
      <c r="O12" s="377" t="s">
        <v>83</v>
      </c>
      <c r="P12" s="386"/>
      <c r="Q12" s="377" t="s">
        <v>84</v>
      </c>
      <c r="R12" s="399"/>
    </row>
    <row r="13" ht="13" customHeight="1" spans="2:21">
      <c r="B13" s="361" t="str">
        <f>报关资料录入!H14</f>
        <v>纸制或纤维板制盒/箱</v>
      </c>
      <c r="C13" s="362"/>
      <c r="D13" s="362"/>
      <c r="E13" s="362"/>
      <c r="F13" s="363"/>
      <c r="G13" s="373">
        <f>装箱单!E77</f>
        <v>30</v>
      </c>
      <c r="H13" s="364">
        <f>装箱单!H77</f>
        <v>30</v>
      </c>
      <c r="I13" s="366"/>
      <c r="J13" s="364">
        <f>装箱单!I77</f>
        <v>0</v>
      </c>
      <c r="K13" s="366"/>
      <c r="L13" s="400" t="str">
        <f>报关资料录入!K14</f>
        <v>FOB</v>
      </c>
      <c r="M13" s="364"/>
      <c r="N13" s="366"/>
      <c r="O13" s="364"/>
      <c r="P13" s="366"/>
      <c r="Q13" s="364"/>
      <c r="R13" s="383"/>
    </row>
    <row r="14" ht="13" customHeight="1" spans="2:21">
      <c r="B14" s="375" t="s">
        <v>85</v>
      </c>
      <c r="C14" s="401"/>
      <c r="D14" s="401"/>
      <c r="E14" s="402"/>
      <c r="F14" s="402"/>
      <c r="G14" s="378"/>
      <c r="H14" s="402"/>
      <c r="I14" s="402"/>
      <c r="J14" s="402"/>
      <c r="K14" s="378"/>
      <c r="L14" s="378"/>
      <c r="M14" s="378"/>
      <c r="N14" s="378"/>
      <c r="O14" s="378"/>
      <c r="P14" s="378"/>
      <c r="Q14" s="378"/>
      <c r="R14" s="382"/>
    </row>
    <row r="15" ht="13" customHeight="1" spans="2:21">
      <c r="B15" s="403">
        <f>报关资料录入!H15</f>
        <v>0</v>
      </c>
      <c r="C15" s="404"/>
      <c r="D15" s="404"/>
      <c r="E15" s="404"/>
      <c r="F15" s="404"/>
      <c r="G15" s="404"/>
      <c r="H15" s="404"/>
      <c r="I15" s="404"/>
      <c r="J15" s="404"/>
      <c r="K15" s="404"/>
      <c r="L15" s="404"/>
      <c r="M15" s="404"/>
      <c r="N15" s="404"/>
      <c r="O15" s="404"/>
      <c r="P15" s="404"/>
      <c r="Q15" s="404"/>
      <c r="R15" s="405"/>
    </row>
    <row r="16" ht="13" customHeight="1" spans="2:21">
      <c r="B16" s="406" t="s">
        <v>86</v>
      </c>
      <c r="C16" s="380"/>
      <c r="D16" s="380"/>
      <c r="E16" s="407"/>
      <c r="F16" s="408"/>
      <c r="G16" s="409"/>
      <c r="H16" s="409"/>
      <c r="I16" s="409"/>
      <c r="J16" s="409"/>
      <c r="K16" s="409"/>
      <c r="L16" s="409"/>
      <c r="M16" s="410"/>
      <c r="N16" s="411"/>
      <c r="O16" s="412"/>
      <c r="P16" s="412"/>
      <c r="Q16" s="412"/>
      <c r="R16" s="413"/>
    </row>
    <row r="17" ht="13" customHeight="1" spans="1:24">
      <c r="B17" s="414" t="s">
        <v>87</v>
      </c>
      <c r="C17" s="415" t="str">
        <f>"合计:"&amp;发票!I45&amp;发票!J45</f>
        <v>合计:USD0</v>
      </c>
      <c r="D17" s="415"/>
      <c r="E17" s="415"/>
      <c r="F17" s="416" t="str">
        <f>报关资料录入!H16</f>
        <v>N/M</v>
      </c>
      <c r="G17" s="415" t="str">
        <f>IF(报关资料录入!F17&gt;0,"集装箱标箱号及号码: "&amp;报关资料录入!E17&amp;";"&amp;报关资料录入!F17&amp;";","")</f>
        <v/>
      </c>
      <c r="H17" s="415"/>
      <c r="I17" s="415"/>
      <c r="J17" s="415"/>
      <c r="K17" s="415"/>
      <c r="L17" s="415"/>
      <c r="M17" s="415" t="str">
        <f>报关资料录入!K16</f>
        <v>退税   </v>
      </c>
      <c r="N17" s="415"/>
      <c r="O17" s="415"/>
      <c r="P17" s="415"/>
      <c r="Q17" s="415"/>
      <c r="R17" s="417"/>
    </row>
    <row r="18" ht="13" customHeight="1" spans="1:24">
      <c r="B18" s="418"/>
      <c r="C18" s="419"/>
      <c r="D18" s="419"/>
      <c r="E18" s="419"/>
      <c r="F18" s="420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21"/>
    </row>
    <row r="19" ht="13" customHeight="1" spans="1:24">
      <c r="B19" s="422" t="s">
        <v>59</v>
      </c>
      <c r="C19" s="423" t="s">
        <v>88</v>
      </c>
      <c r="D19" s="423"/>
      <c r="E19" s="423" t="s">
        <v>89</v>
      </c>
      <c r="F19" s="423"/>
      <c r="G19" s="423"/>
      <c r="H19" s="423" t="s">
        <v>90</v>
      </c>
      <c r="I19" s="423"/>
      <c r="J19" s="423"/>
      <c r="K19" s="423" t="s">
        <v>91</v>
      </c>
      <c r="L19" s="423"/>
      <c r="M19" s="423" t="s">
        <v>92</v>
      </c>
      <c r="N19" s="423" t="s">
        <v>93</v>
      </c>
      <c r="O19" s="423"/>
      <c r="P19" s="423" t="s">
        <v>35</v>
      </c>
      <c r="Q19" s="423"/>
      <c r="R19" s="424" t="s">
        <v>94</v>
      </c>
    </row>
    <row r="20" ht="15" customHeight="1" spans="1:24">
      <c r="B20" s="425">
        <f>报关资料录入!B21</f>
        <v>1</v>
      </c>
      <c r="C20" s="426">
        <f>报关资料录入!C21</f>
        <v>0</v>
      </c>
      <c r="D20" s="426"/>
      <c r="E20" s="427">
        <f>报关资料录入!E21</f>
        <v>0</v>
      </c>
      <c r="F20" s="427"/>
      <c r="G20" s="427"/>
      <c r="H20" s="428">
        <f>报关资料录入!J21</f>
        <v>1</v>
      </c>
      <c r="I20" s="428"/>
      <c r="J20" s="427" t="str">
        <f>报关资料录入!K21</f>
        <v>个</v>
      </c>
      <c r="K20" s="429">
        <f>报关资料录入!L21</f>
        <v>0</v>
      </c>
      <c r="L20" s="429"/>
      <c r="M20" s="426" t="str">
        <f>报关资料录入!K13</f>
        <v>中国</v>
      </c>
      <c r="N20" s="426" t="str">
        <f>报关资料录入!E11</f>
        <v>美国</v>
      </c>
      <c r="O20" s="426"/>
      <c r="P20" s="426" t="str">
        <f>报关资料录入!K12</f>
        <v>深圳特区</v>
      </c>
      <c r="Q20" s="426"/>
      <c r="R20" s="430" t="str">
        <f>报关资料录入!H11</f>
        <v>照章征税</v>
      </c>
    </row>
    <row r="21" ht="15" customHeight="1" spans="1:24">
      <c r="B21" s="431"/>
      <c r="C21" s="432"/>
      <c r="D21" s="432"/>
      <c r="E21" s="433">
        <f>报关资料录入!E22</f>
        <v>0</v>
      </c>
      <c r="F21" s="433"/>
      <c r="G21" s="433"/>
      <c r="H21" s="434">
        <f>报关资料录入!J22</f>
        <v>0</v>
      </c>
      <c r="I21" s="434"/>
      <c r="J21" s="435">
        <f>报关资料录入!K22</f>
        <v>0</v>
      </c>
      <c r="K21" s="436">
        <f>H20*K20</f>
        <v>0</v>
      </c>
      <c r="L21" s="436"/>
      <c r="M21" s="437"/>
      <c r="N21" s="432"/>
      <c r="O21" s="432"/>
      <c r="P21" s="432"/>
      <c r="Q21" s="432"/>
      <c r="R21" s="438"/>
    </row>
    <row r="22" s="341" customFormat="1" ht="15" customHeight="1" spans="1:24">
      <c r="A22" s="439"/>
      <c r="B22" s="440"/>
      <c r="C22" s="441"/>
      <c r="D22" s="441"/>
      <c r="E22" s="442"/>
      <c r="F22" s="442"/>
      <c r="G22" s="442"/>
      <c r="H22" s="443"/>
      <c r="I22" s="443"/>
      <c r="J22" s="444"/>
      <c r="K22" s="445" t="str">
        <f>IF(报关资料录入!K15="HKD","港币 ",IF(报关资料录入!K15="USD","美元 ","人民币 "))</f>
        <v>美元 </v>
      </c>
      <c r="L22" s="445"/>
      <c r="M22" s="441"/>
      <c r="N22" s="441"/>
      <c r="O22" s="441"/>
      <c r="P22" s="441"/>
      <c r="Q22" s="441"/>
      <c r="R22" s="446"/>
    </row>
    <row r="23" ht="15" customHeight="1" spans="1:24">
      <c r="B23" s="431">
        <f>报关资料录入!B23</f>
        <v>2</v>
      </c>
      <c r="C23" s="432">
        <f>报关资料录入!C23</f>
        <v>0</v>
      </c>
      <c r="D23" s="432"/>
      <c r="E23" s="447">
        <f>报关资料录入!E23</f>
        <v>0</v>
      </c>
      <c r="F23" s="447"/>
      <c r="G23" s="447"/>
      <c r="H23" s="448">
        <f>报关资料录入!J23</f>
        <v>1</v>
      </c>
      <c r="I23" s="448"/>
      <c r="J23" s="447" t="str">
        <f>报关资料录入!K23</f>
        <v>个</v>
      </c>
      <c r="K23" s="449">
        <f>报关资料录入!L23</f>
        <v>0</v>
      </c>
      <c r="L23" s="449"/>
      <c r="M23" s="437" t="str">
        <f>IF(B23=2,M20,"")</f>
        <v>中国</v>
      </c>
      <c r="N23" s="437" t="str">
        <f>N20</f>
        <v>美国</v>
      </c>
      <c r="O23" s="437"/>
      <c r="P23" s="437" t="str">
        <f>IF(B23=2,P20,"")</f>
        <v>深圳特区</v>
      </c>
      <c r="Q23" s="437"/>
      <c r="R23" s="438" t="str">
        <f>IF(B23=2,R20,"")</f>
        <v>照章征税</v>
      </c>
    </row>
    <row r="24" ht="15" customHeight="1" spans="1:24">
      <c r="B24" s="431"/>
      <c r="C24" s="432"/>
      <c r="D24" s="432"/>
      <c r="E24" s="433">
        <f>报关资料录入!E24</f>
        <v>0</v>
      </c>
      <c r="F24" s="433"/>
      <c r="G24" s="433"/>
      <c r="H24" s="434">
        <f>报关资料录入!J24</f>
        <v>0</v>
      </c>
      <c r="I24" s="434"/>
      <c r="J24" s="435">
        <f>报关资料录入!K24</f>
        <v>0</v>
      </c>
      <c r="K24" s="436">
        <f>K23*H23</f>
        <v>0</v>
      </c>
      <c r="L24" s="436"/>
      <c r="M24" s="437"/>
      <c r="N24" s="432"/>
      <c r="O24" s="432"/>
      <c r="P24" s="432"/>
      <c r="Q24" s="432"/>
      <c r="R24" s="438"/>
    </row>
    <row r="25" s="341" customFormat="1" ht="15" customHeight="1" spans="1:24">
      <c r="A25" s="439"/>
      <c r="B25" s="440"/>
      <c r="C25" s="441"/>
      <c r="D25" s="441"/>
      <c r="E25" s="442"/>
      <c r="F25" s="442"/>
      <c r="G25" s="442"/>
      <c r="H25" s="443"/>
      <c r="I25" s="443"/>
      <c r="J25" s="444"/>
      <c r="K25" s="445" t="str">
        <f>IF(B23=2,K22,"")</f>
        <v>美元 </v>
      </c>
      <c r="L25" s="445"/>
      <c r="M25" s="441"/>
      <c r="N25" s="441"/>
      <c r="O25" s="441"/>
      <c r="P25" s="441"/>
      <c r="Q25" s="441"/>
      <c r="R25" s="446"/>
      <c r="V25" s="343"/>
      <c r="W25" s="343"/>
    </row>
    <row r="26" s="341" customFormat="1" ht="15" customHeight="1" spans="1:24">
      <c r="A26" s="439"/>
      <c r="B26" s="431">
        <f>报关资料录入!B25</f>
        <v>3</v>
      </c>
      <c r="C26" s="432">
        <f>报关资料录入!C25</f>
        <v>0</v>
      </c>
      <c r="D26" s="432"/>
      <c r="E26" s="447">
        <f>报关资料录入!E25</f>
        <v>0</v>
      </c>
      <c r="F26" s="447"/>
      <c r="G26" s="447"/>
      <c r="H26" s="448">
        <f>报关资料录入!J25</f>
        <v>1</v>
      </c>
      <c r="I26" s="448"/>
      <c r="J26" s="447" t="str">
        <f>报关资料录入!K25</f>
        <v>个</v>
      </c>
      <c r="K26" s="449">
        <f>报关资料录入!L25</f>
        <v>0</v>
      </c>
      <c r="L26" s="449"/>
      <c r="M26" s="437" t="s">
        <v>41</v>
      </c>
      <c r="N26" s="437" t="str">
        <f>N23</f>
        <v>美国</v>
      </c>
      <c r="O26" s="437"/>
      <c r="P26" s="437" t="s">
        <v>36</v>
      </c>
      <c r="Q26" s="437"/>
      <c r="R26" s="438" t="s">
        <v>30</v>
      </c>
      <c r="V26" s="343"/>
      <c r="W26" s="343"/>
    </row>
    <row r="27" s="341" customFormat="1" ht="15" customHeight="1" spans="1:24">
      <c r="A27" s="439"/>
      <c r="B27" s="431"/>
      <c r="C27" s="432"/>
      <c r="D27" s="432"/>
      <c r="E27" s="433">
        <f>报关资料录入!E26</f>
        <v>0</v>
      </c>
      <c r="F27" s="433"/>
      <c r="G27" s="433"/>
      <c r="H27" s="434"/>
      <c r="I27" s="434"/>
      <c r="J27" s="435"/>
      <c r="K27" s="436">
        <f>K26*H26</f>
        <v>0</v>
      </c>
      <c r="L27" s="436"/>
      <c r="M27" s="437"/>
      <c r="N27" s="432"/>
      <c r="O27" s="432"/>
      <c r="P27" s="432"/>
      <c r="Q27" s="432"/>
      <c r="R27" s="438"/>
    </row>
    <row r="28" s="341" customFormat="1" ht="15" customHeight="1" spans="1:24">
      <c r="A28" s="439"/>
      <c r="B28" s="440"/>
      <c r="C28" s="441"/>
      <c r="D28" s="441"/>
      <c r="E28" s="442"/>
      <c r="F28" s="442"/>
      <c r="G28" s="442"/>
      <c r="H28" s="443"/>
      <c r="I28" s="443"/>
      <c r="J28" s="444"/>
      <c r="K28" s="445" t="str">
        <f>IF(B23=2,K22,"")</f>
        <v>美元 </v>
      </c>
      <c r="L28" s="445"/>
      <c r="M28" s="441"/>
      <c r="N28" s="441"/>
      <c r="O28" s="441"/>
      <c r="P28" s="441"/>
      <c r="Q28" s="441"/>
      <c r="R28" s="446"/>
    </row>
    <row r="29" s="341" customFormat="1" ht="15" customHeight="1" spans="1:24">
      <c r="A29" s="439"/>
      <c r="B29" s="431">
        <f>报关资料录入!B27</f>
        <v>4</v>
      </c>
      <c r="C29" s="432">
        <f>报关资料录入!C27</f>
        <v>0</v>
      </c>
      <c r="D29" s="432"/>
      <c r="E29" s="447">
        <f>报关资料录入!E27</f>
        <v>0</v>
      </c>
      <c r="F29" s="447"/>
      <c r="G29" s="447"/>
      <c r="H29" s="448">
        <f>报关资料录入!J27</f>
        <v>1</v>
      </c>
      <c r="I29" s="448"/>
      <c r="J29" s="447" t="str">
        <f>报关资料录入!K27</f>
        <v>个</v>
      </c>
      <c r="K29" s="449">
        <f>报关资料录入!L27</f>
        <v>0</v>
      </c>
      <c r="L29" s="449"/>
      <c r="M29" s="437" t="s">
        <v>41</v>
      </c>
      <c r="N29" s="437" t="str">
        <f>N26</f>
        <v>美国</v>
      </c>
      <c r="O29" s="437"/>
      <c r="P29" s="437" t="s">
        <v>36</v>
      </c>
      <c r="Q29" s="437"/>
      <c r="R29" s="438" t="s">
        <v>30</v>
      </c>
    </row>
    <row r="30" s="341" customFormat="1" ht="15" customHeight="1" spans="1:24">
      <c r="A30" s="439"/>
      <c r="B30" s="450"/>
      <c r="C30" s="451"/>
      <c r="D30" s="451"/>
      <c r="E30" s="433">
        <f>报关资料录入!E28</f>
        <v>0</v>
      </c>
      <c r="F30" s="433"/>
      <c r="G30" s="433"/>
      <c r="H30" s="452"/>
      <c r="I30" s="452"/>
      <c r="J30" s="453"/>
      <c r="K30" s="436">
        <f>K29*H29</f>
        <v>0</v>
      </c>
      <c r="L30" s="436"/>
      <c r="M30" s="454"/>
      <c r="N30" s="432"/>
      <c r="O30" s="432"/>
      <c r="P30" s="454"/>
      <c r="Q30" s="454"/>
      <c r="R30" s="455"/>
    </row>
    <row r="31" s="341" customFormat="1" ht="15" customHeight="1" spans="1:24">
      <c r="A31" s="439"/>
      <c r="B31" s="440"/>
      <c r="C31" s="441"/>
      <c r="D31" s="441"/>
      <c r="E31" s="442"/>
      <c r="F31" s="442"/>
      <c r="G31" s="442"/>
      <c r="H31" s="456"/>
      <c r="I31" s="456"/>
      <c r="J31" s="457"/>
      <c r="K31" s="445" t="str">
        <f>IF(B23=2,K22,"")</f>
        <v>美元 </v>
      </c>
      <c r="L31" s="445"/>
      <c r="M31" s="441"/>
      <c r="N31" s="441"/>
      <c r="O31" s="441"/>
      <c r="P31" s="441"/>
      <c r="Q31" s="441"/>
      <c r="R31" s="446"/>
    </row>
    <row r="32" ht="15" customHeight="1" spans="1:24">
      <c r="B32" s="431">
        <f>报关资料录入!B29</f>
        <v>5</v>
      </c>
      <c r="C32" s="432">
        <f>报关资料录入!C29</f>
        <v>0</v>
      </c>
      <c r="D32" s="432"/>
      <c r="E32" s="447">
        <f>报关资料录入!E29</f>
        <v>0</v>
      </c>
      <c r="F32" s="447"/>
      <c r="G32" s="447"/>
      <c r="H32" s="448">
        <f>报关资料录入!J29</f>
        <v>1</v>
      </c>
      <c r="I32" s="448"/>
      <c r="J32" s="447" t="str">
        <f>报关资料录入!K29</f>
        <v>个</v>
      </c>
      <c r="K32" s="449">
        <f>报关资料录入!L29</f>
        <v>0</v>
      </c>
      <c r="L32" s="449"/>
      <c r="M32" s="437" t="s">
        <v>41</v>
      </c>
      <c r="N32" s="437" t="str">
        <f>N29</f>
        <v>美国</v>
      </c>
      <c r="O32" s="437"/>
      <c r="P32" s="437" t="s">
        <v>36</v>
      </c>
      <c r="Q32" s="437"/>
      <c r="R32" s="438" t="s">
        <v>30</v>
      </c>
      <c r="W32" s="341"/>
      <c r="X32" s="341"/>
    </row>
    <row r="33" ht="15" customHeight="1" spans="1:24">
      <c r="B33" s="431"/>
      <c r="C33" s="432"/>
      <c r="D33" s="432"/>
      <c r="E33" s="433">
        <f>报关资料录入!E30</f>
        <v>0</v>
      </c>
      <c r="F33" s="433"/>
      <c r="G33" s="433"/>
      <c r="H33" s="434">
        <f>报关资料录入!J30</f>
        <v>0</v>
      </c>
      <c r="I33" s="434"/>
      <c r="J33" s="435">
        <f>报关资料录入!K30</f>
        <v>0</v>
      </c>
      <c r="K33" s="436">
        <f>K32*H32</f>
        <v>0</v>
      </c>
      <c r="L33" s="436"/>
      <c r="M33" s="437"/>
      <c r="N33" s="432"/>
      <c r="O33" s="432"/>
      <c r="P33" s="432"/>
      <c r="Q33" s="432"/>
      <c r="R33" s="438"/>
      <c r="W33" s="341"/>
      <c r="X33" s="341"/>
    </row>
    <row r="34" s="341" customFormat="1" ht="15" customHeight="1" spans="1:24">
      <c r="A34" s="439"/>
      <c r="B34" s="440"/>
      <c r="C34" s="441"/>
      <c r="D34" s="441"/>
      <c r="E34" s="442"/>
      <c r="F34" s="442"/>
      <c r="G34" s="442"/>
      <c r="H34" s="443"/>
      <c r="I34" s="443"/>
      <c r="J34" s="444"/>
      <c r="K34" s="445" t="str">
        <f>IF(B23=2,K22,"")</f>
        <v>美元 </v>
      </c>
      <c r="L34" s="445"/>
      <c r="M34" s="441"/>
      <c r="N34" s="441"/>
      <c r="O34" s="441"/>
      <c r="P34" s="441"/>
      <c r="Q34" s="441"/>
      <c r="R34" s="446"/>
    </row>
    <row r="35" ht="15" customHeight="1" spans="1:24">
      <c r="B35" s="431">
        <f>报关资料录入!B31</f>
        <v>6</v>
      </c>
      <c r="C35" s="432">
        <f>报关资料录入!C31</f>
        <v>0</v>
      </c>
      <c r="D35" s="432"/>
      <c r="E35" s="447">
        <f>报关资料录入!E31</f>
        <v>0</v>
      </c>
      <c r="F35" s="447"/>
      <c r="G35" s="447"/>
      <c r="H35" s="448">
        <f>报关资料录入!J31</f>
        <v>1</v>
      </c>
      <c r="I35" s="448"/>
      <c r="J35" s="447" t="str">
        <f>报关资料录入!K31</f>
        <v>个</v>
      </c>
      <c r="K35" s="449">
        <f>报关资料录入!L31</f>
        <v>0</v>
      </c>
      <c r="L35" s="449"/>
      <c r="M35" s="437" t="s">
        <v>41</v>
      </c>
      <c r="N35" s="437" t="str">
        <f>N32</f>
        <v>美国</v>
      </c>
      <c r="O35" s="437"/>
      <c r="P35" s="437" t="s">
        <v>36</v>
      </c>
      <c r="Q35" s="437"/>
      <c r="R35" s="438" t="s">
        <v>30</v>
      </c>
    </row>
    <row r="36" ht="15" customHeight="1" spans="1:24">
      <c r="B36" s="431"/>
      <c r="C36" s="432"/>
      <c r="D36" s="432"/>
      <c r="E36" s="433">
        <f>报关资料录入!E32</f>
        <v>0</v>
      </c>
      <c r="F36" s="433"/>
      <c r="G36" s="433"/>
      <c r="H36" s="434">
        <f>报关资料录入!J32</f>
        <v>0</v>
      </c>
      <c r="I36" s="434"/>
      <c r="J36" s="435">
        <f>报关资料录入!K32</f>
        <v>0</v>
      </c>
      <c r="K36" s="436">
        <f>H35*K35</f>
        <v>0</v>
      </c>
      <c r="L36" s="436"/>
      <c r="M36" s="437"/>
      <c r="N36" s="432"/>
      <c r="O36" s="432"/>
      <c r="P36" s="432"/>
      <c r="Q36" s="432"/>
      <c r="R36" s="438"/>
    </row>
    <row r="37" s="341" customFormat="1" ht="15" customHeight="1" spans="1:24">
      <c r="A37" s="439"/>
      <c r="B37" s="440"/>
      <c r="C37" s="432"/>
      <c r="D37" s="432"/>
      <c r="E37" s="442"/>
      <c r="F37" s="442"/>
      <c r="G37" s="442"/>
      <c r="H37" s="443"/>
      <c r="I37" s="443"/>
      <c r="J37" s="444"/>
      <c r="K37" s="445" t="s">
        <v>95</v>
      </c>
      <c r="L37" s="445"/>
      <c r="M37" s="441"/>
      <c r="N37" s="441"/>
      <c r="O37" s="441"/>
      <c r="P37" s="441"/>
      <c r="Q37" s="441"/>
      <c r="R37" s="446"/>
    </row>
    <row r="38" s="341" customFormat="1" ht="15" customHeight="1" spans="1:24">
      <c r="A38" s="342"/>
      <c r="B38" s="425">
        <f>报关资料录入!B33</f>
        <v>7</v>
      </c>
      <c r="C38" s="426">
        <f>报关资料录入!C33</f>
        <v>0</v>
      </c>
      <c r="D38" s="426"/>
      <c r="E38" s="427">
        <f>报关资料录入!E33</f>
        <v>0</v>
      </c>
      <c r="F38" s="427"/>
      <c r="G38" s="427"/>
      <c r="H38" s="428">
        <f>报关资料录入!J33</f>
        <v>1</v>
      </c>
      <c r="I38" s="428"/>
      <c r="J38" s="427" t="str">
        <f>报关资料录入!K33</f>
        <v>个</v>
      </c>
      <c r="K38" s="429">
        <f>报关资料录入!L33</f>
        <v>0</v>
      </c>
      <c r="L38" s="429"/>
      <c r="M38" s="437" t="s">
        <v>41</v>
      </c>
      <c r="N38" s="437" t="str">
        <f>N35</f>
        <v>美国</v>
      </c>
      <c r="O38" s="437"/>
      <c r="P38" s="437" t="s">
        <v>36</v>
      </c>
      <c r="Q38" s="437"/>
      <c r="R38" s="438" t="s">
        <v>30</v>
      </c>
    </row>
    <row r="39" s="341" customFormat="1" ht="15" customHeight="1" spans="1:24">
      <c r="A39" s="342"/>
      <c r="B39" s="431"/>
      <c r="C39" s="432"/>
      <c r="D39" s="432"/>
      <c r="E39" s="433">
        <f>报关资料录入!E34</f>
        <v>0</v>
      </c>
      <c r="F39" s="433"/>
      <c r="G39" s="433"/>
      <c r="H39" s="434">
        <f>报关资料录入!J40</f>
        <v>0</v>
      </c>
      <c r="I39" s="434"/>
      <c r="J39" s="435">
        <f>报关资料录入!K40</f>
        <v>0</v>
      </c>
      <c r="K39" s="436">
        <f>H38*K38</f>
        <v>0</v>
      </c>
      <c r="L39" s="436"/>
      <c r="M39" s="454"/>
      <c r="N39" s="432"/>
      <c r="O39" s="432"/>
      <c r="P39" s="454"/>
      <c r="Q39" s="454"/>
      <c r="R39" s="455"/>
    </row>
    <row r="40" s="341" customFormat="1" ht="15" customHeight="1" spans="1:24">
      <c r="A40" s="439"/>
      <c r="B40" s="440"/>
      <c r="C40" s="441"/>
      <c r="D40" s="441"/>
      <c r="E40" s="442"/>
      <c r="F40" s="442"/>
      <c r="G40" s="442"/>
      <c r="H40" s="443"/>
      <c r="I40" s="443"/>
      <c r="J40" s="444"/>
      <c r="K40" s="445" t="s">
        <v>95</v>
      </c>
      <c r="L40" s="445"/>
      <c r="M40" s="441"/>
      <c r="N40" s="441"/>
      <c r="O40" s="441"/>
      <c r="P40" s="441"/>
      <c r="Q40" s="441"/>
      <c r="R40" s="446"/>
    </row>
    <row r="41" s="341" customFormat="1" ht="15" customHeight="1" spans="1:24">
      <c r="A41" s="342"/>
      <c r="B41" s="431">
        <f>报关资料录入!B35</f>
        <v>8</v>
      </c>
      <c r="C41" s="432">
        <f>报关资料录入!C35</f>
        <v>0</v>
      </c>
      <c r="D41" s="432"/>
      <c r="E41" s="447">
        <f>报关资料录入!E35</f>
        <v>0</v>
      </c>
      <c r="F41" s="447"/>
      <c r="G41" s="447"/>
      <c r="H41" s="448">
        <f>报关资料录入!J35</f>
        <v>1</v>
      </c>
      <c r="I41" s="448"/>
      <c r="J41" s="447" t="str">
        <f>报关资料录入!K35</f>
        <v>个</v>
      </c>
      <c r="K41" s="449">
        <f>报关资料录入!L35</f>
        <v>0</v>
      </c>
      <c r="L41" s="449"/>
      <c r="M41" s="437" t="s">
        <v>41</v>
      </c>
      <c r="N41" s="437" t="str">
        <f>N38</f>
        <v>美国</v>
      </c>
      <c r="O41" s="437"/>
      <c r="P41" s="437" t="s">
        <v>36</v>
      </c>
      <c r="Q41" s="437"/>
      <c r="R41" s="438" t="s">
        <v>30</v>
      </c>
    </row>
    <row r="42" s="341" customFormat="1" ht="15" customHeight="1" spans="1:24">
      <c r="A42" s="342"/>
      <c r="B42" s="431"/>
      <c r="C42" s="432"/>
      <c r="D42" s="432"/>
      <c r="E42" s="433">
        <f>报关资料录入!E36</f>
        <v>0</v>
      </c>
      <c r="F42" s="433"/>
      <c r="G42" s="433"/>
      <c r="H42" s="434">
        <f>报关资料录入!J42</f>
        <v>0</v>
      </c>
      <c r="I42" s="434"/>
      <c r="J42" s="435">
        <f>报关资料录入!K42</f>
        <v>0</v>
      </c>
      <c r="K42" s="436">
        <f>K41*H41</f>
        <v>0</v>
      </c>
      <c r="L42" s="436"/>
      <c r="M42" s="437"/>
      <c r="N42" s="432"/>
      <c r="O42" s="432"/>
      <c r="P42" s="432"/>
      <c r="Q42" s="432"/>
      <c r="R42" s="438"/>
    </row>
    <row r="43" s="341" customFormat="1" ht="15" customHeight="1" spans="1:24">
      <c r="A43" s="439"/>
      <c r="B43" s="440"/>
      <c r="C43" s="441"/>
      <c r="D43" s="441"/>
      <c r="E43" s="442"/>
      <c r="F43" s="442"/>
      <c r="G43" s="442"/>
      <c r="H43" s="443"/>
      <c r="I43" s="443"/>
      <c r="J43" s="444"/>
      <c r="K43" s="445" t="s">
        <v>95</v>
      </c>
      <c r="L43" s="445"/>
      <c r="M43" s="441"/>
      <c r="N43" s="441"/>
      <c r="O43" s="441"/>
      <c r="P43" s="441"/>
      <c r="Q43" s="441"/>
      <c r="R43" s="446"/>
      <c r="V43" s="343"/>
      <c r="W43" s="343"/>
    </row>
    <row r="44" s="341" customFormat="1" ht="15" customHeight="1" spans="1:24">
      <c r="A44" s="439"/>
      <c r="B44" s="431">
        <f>报关资料录入!B37</f>
        <v>9</v>
      </c>
      <c r="C44" s="432">
        <f>报关资料录入!C37</f>
        <v>0</v>
      </c>
      <c r="D44" s="432"/>
      <c r="E44" s="447">
        <f>报关资料录入!E37</f>
        <v>0</v>
      </c>
      <c r="F44" s="447"/>
      <c r="G44" s="447"/>
      <c r="H44" s="448">
        <f>报关资料录入!J37</f>
        <v>1</v>
      </c>
      <c r="I44" s="448"/>
      <c r="J44" s="447" t="str">
        <f>报关资料录入!K37</f>
        <v>个</v>
      </c>
      <c r="K44" s="449">
        <f>报关资料录入!L37</f>
        <v>0</v>
      </c>
      <c r="L44" s="449"/>
      <c r="M44" s="437" t="s">
        <v>41</v>
      </c>
      <c r="N44" s="437" t="str">
        <f>N41</f>
        <v>美国</v>
      </c>
      <c r="O44" s="437"/>
      <c r="P44" s="437" t="s">
        <v>36</v>
      </c>
      <c r="Q44" s="437"/>
      <c r="R44" s="438" t="s">
        <v>30</v>
      </c>
      <c r="V44" s="343"/>
      <c r="W44" s="343"/>
    </row>
    <row r="45" s="341" customFormat="1" ht="15" customHeight="1" spans="1:24">
      <c r="A45" s="439"/>
      <c r="B45" s="431"/>
      <c r="C45" s="432"/>
      <c r="D45" s="432"/>
      <c r="E45" s="433">
        <f>报关资料录入!E38</f>
        <v>0</v>
      </c>
      <c r="F45" s="433"/>
      <c r="G45" s="433"/>
      <c r="H45" s="434"/>
      <c r="I45" s="434"/>
      <c r="J45" s="435"/>
      <c r="K45" s="436">
        <f>K44*H44</f>
        <v>0</v>
      </c>
      <c r="L45" s="436"/>
      <c r="M45" s="437"/>
      <c r="N45" s="432"/>
      <c r="O45" s="432"/>
      <c r="P45" s="432"/>
      <c r="Q45" s="432"/>
      <c r="R45" s="438"/>
    </row>
    <row r="46" s="341" customFormat="1" ht="15" customHeight="1" spans="1:24">
      <c r="A46" s="439"/>
      <c r="B46" s="440"/>
      <c r="C46" s="441"/>
      <c r="D46" s="441"/>
      <c r="E46" s="442"/>
      <c r="F46" s="442"/>
      <c r="G46" s="442"/>
      <c r="H46" s="443"/>
      <c r="I46" s="443"/>
      <c r="J46" s="444"/>
      <c r="K46" s="445" t="s">
        <v>95</v>
      </c>
      <c r="L46" s="445"/>
      <c r="M46" s="441"/>
      <c r="N46" s="441"/>
      <c r="O46" s="441"/>
      <c r="P46" s="441"/>
      <c r="Q46" s="441"/>
      <c r="R46" s="446"/>
    </row>
    <row r="47" s="341" customFormat="1" ht="15" customHeight="1" spans="1:24">
      <c r="A47" s="439"/>
      <c r="B47" s="431">
        <f>报关资料录入!B39</f>
        <v>10</v>
      </c>
      <c r="C47" s="432">
        <f>报关资料录入!C39</f>
        <v>0</v>
      </c>
      <c r="D47" s="432"/>
      <c r="E47" s="447">
        <f>报关资料录入!E39</f>
        <v>0</v>
      </c>
      <c r="F47" s="447"/>
      <c r="G47" s="447"/>
      <c r="H47" s="448">
        <f>报关资料录入!J39</f>
        <v>1</v>
      </c>
      <c r="I47" s="448"/>
      <c r="J47" s="447" t="str">
        <f>报关资料录入!K39</f>
        <v>个</v>
      </c>
      <c r="K47" s="449">
        <f>报关资料录入!L39</f>
        <v>0</v>
      </c>
      <c r="L47" s="449"/>
      <c r="M47" s="437" t="s">
        <v>41</v>
      </c>
      <c r="N47" s="437" t="str">
        <f>N44</f>
        <v>美国</v>
      </c>
      <c r="O47" s="437"/>
      <c r="P47" s="437" t="s">
        <v>36</v>
      </c>
      <c r="Q47" s="437"/>
      <c r="R47" s="438" t="s">
        <v>30</v>
      </c>
    </row>
    <row r="48" s="341" customFormat="1" ht="15" customHeight="1" spans="1:24">
      <c r="A48" s="439"/>
      <c r="B48" s="450"/>
      <c r="C48" s="451"/>
      <c r="D48" s="451"/>
      <c r="E48" s="433">
        <f>报关资料录入!E40</f>
        <v>0</v>
      </c>
      <c r="F48" s="433"/>
      <c r="G48" s="433"/>
      <c r="H48" s="452"/>
      <c r="I48" s="452"/>
      <c r="J48" s="453"/>
      <c r="K48" s="436">
        <f>K47*H47</f>
        <v>0</v>
      </c>
      <c r="L48" s="436"/>
      <c r="M48" s="454"/>
      <c r="N48" s="432"/>
      <c r="O48" s="432"/>
      <c r="P48" s="454"/>
      <c r="Q48" s="454"/>
      <c r="R48" s="455"/>
    </row>
    <row r="49" s="341" customFormat="1" ht="15" customHeight="1" spans="1:23">
      <c r="A49" s="439"/>
      <c r="B49" s="440"/>
      <c r="C49" s="441"/>
      <c r="D49" s="441"/>
      <c r="E49" s="442"/>
      <c r="F49" s="442"/>
      <c r="G49" s="442"/>
      <c r="H49" s="456"/>
      <c r="I49" s="456"/>
      <c r="J49" s="457"/>
      <c r="K49" s="445" t="s">
        <v>95</v>
      </c>
      <c r="L49" s="445"/>
      <c r="M49" s="441"/>
      <c r="N49" s="441"/>
      <c r="O49" s="441"/>
      <c r="P49" s="441"/>
      <c r="Q49" s="441"/>
      <c r="R49" s="446"/>
    </row>
    <row r="50" s="341" customFormat="1" ht="15" customHeight="1" spans="1:23">
      <c r="A50" s="342"/>
      <c r="B50" s="431">
        <f>报关资料录入!B41</f>
        <v>11</v>
      </c>
      <c r="C50" s="432">
        <f>报关资料录入!C41</f>
        <v>0</v>
      </c>
      <c r="D50" s="432"/>
      <c r="E50" s="447">
        <f>报关资料录入!E41</f>
        <v>0</v>
      </c>
      <c r="F50" s="447"/>
      <c r="G50" s="447"/>
      <c r="H50" s="448">
        <f>报关资料录入!J41</f>
        <v>1</v>
      </c>
      <c r="I50" s="448"/>
      <c r="J50" s="447" t="str">
        <f>报关资料录入!K41</f>
        <v>个</v>
      </c>
      <c r="K50" s="449">
        <f>报关资料录入!L41</f>
        <v>0</v>
      </c>
      <c r="L50" s="449"/>
      <c r="M50" s="437" t="s">
        <v>41</v>
      </c>
      <c r="N50" s="437" t="str">
        <f>N47</f>
        <v>美国</v>
      </c>
      <c r="O50" s="437"/>
      <c r="P50" s="437" t="s">
        <v>36</v>
      </c>
      <c r="Q50" s="437"/>
      <c r="R50" s="438" t="s">
        <v>30</v>
      </c>
    </row>
    <row r="51" s="341" customFormat="1" ht="15" customHeight="1" spans="1:23">
      <c r="A51" s="342"/>
      <c r="B51" s="431"/>
      <c r="C51" s="432"/>
      <c r="D51" s="432"/>
      <c r="E51" s="433">
        <f>报关资料录入!E42</f>
        <v>0</v>
      </c>
      <c r="F51" s="433"/>
      <c r="G51" s="433"/>
      <c r="H51" s="434">
        <f>报关资料录入!J48</f>
        <v>0</v>
      </c>
      <c r="I51" s="434"/>
      <c r="J51" s="435">
        <f>报关资料录入!K48</f>
        <v>0</v>
      </c>
      <c r="K51" s="436">
        <f>K50*H50</f>
        <v>0</v>
      </c>
      <c r="L51" s="436"/>
      <c r="M51" s="437"/>
      <c r="N51" s="432"/>
      <c r="O51" s="432"/>
      <c r="P51" s="432"/>
      <c r="Q51" s="432"/>
      <c r="R51" s="438"/>
    </row>
    <row r="52" s="341" customFormat="1" ht="15" customHeight="1" spans="1:23">
      <c r="A52" s="439"/>
      <c r="B52" s="440"/>
      <c r="C52" s="441"/>
      <c r="D52" s="441"/>
      <c r="E52" s="442"/>
      <c r="F52" s="442"/>
      <c r="G52" s="442"/>
      <c r="H52" s="443"/>
      <c r="I52" s="443"/>
      <c r="J52" s="444"/>
      <c r="K52" s="445" t="s">
        <v>95</v>
      </c>
      <c r="L52" s="445"/>
      <c r="M52" s="441"/>
      <c r="N52" s="441"/>
      <c r="O52" s="441"/>
      <c r="P52" s="441"/>
      <c r="Q52" s="441"/>
      <c r="R52" s="446"/>
    </row>
    <row r="53" s="341" customFormat="1" ht="15" customHeight="1" spans="1:23">
      <c r="A53" s="342"/>
      <c r="B53" s="431">
        <f>报关资料录入!B43</f>
        <v>12</v>
      </c>
      <c r="C53" s="432">
        <f>报关资料录入!C43</f>
        <v>0</v>
      </c>
      <c r="D53" s="432"/>
      <c r="E53" s="447">
        <f>报关资料录入!E43</f>
        <v>0</v>
      </c>
      <c r="F53" s="447"/>
      <c r="G53" s="447"/>
      <c r="H53" s="448">
        <f>报关资料录入!J43</f>
        <v>1</v>
      </c>
      <c r="I53" s="448"/>
      <c r="J53" s="447" t="str">
        <f>报关资料录入!K43</f>
        <v>个</v>
      </c>
      <c r="K53" s="449">
        <f>报关资料录入!L43</f>
        <v>0</v>
      </c>
      <c r="L53" s="449"/>
      <c r="M53" s="437" t="s">
        <v>41</v>
      </c>
      <c r="N53" s="437" t="str">
        <f>N50</f>
        <v>美国</v>
      </c>
      <c r="O53" s="437"/>
      <c r="P53" s="437" t="s">
        <v>36</v>
      </c>
      <c r="Q53" s="437"/>
      <c r="R53" s="438" t="s">
        <v>30</v>
      </c>
    </row>
    <row r="54" s="341" customFormat="1" ht="15" customHeight="1" spans="1:23">
      <c r="A54" s="342"/>
      <c r="B54" s="431"/>
      <c r="C54" s="432"/>
      <c r="D54" s="432"/>
      <c r="E54" s="433">
        <f>报关资料录入!E44</f>
        <v>0</v>
      </c>
      <c r="F54" s="433"/>
      <c r="G54" s="433"/>
      <c r="H54" s="434">
        <f>报关资料录入!J66</f>
        <v>0</v>
      </c>
      <c r="I54" s="434"/>
      <c r="J54" s="435">
        <f>报关资料录入!K66</f>
        <v>0</v>
      </c>
      <c r="K54" s="436">
        <f>H53*K53</f>
        <v>0</v>
      </c>
      <c r="L54" s="436"/>
      <c r="M54" s="437"/>
      <c r="N54" s="432"/>
      <c r="O54" s="432"/>
      <c r="P54" s="432"/>
      <c r="Q54" s="432"/>
      <c r="R54" s="438"/>
    </row>
    <row r="55" s="341" customFormat="1" ht="15" customHeight="1" spans="1:23">
      <c r="A55" s="439"/>
      <c r="B55" s="440"/>
      <c r="C55" s="432"/>
      <c r="D55" s="432"/>
      <c r="E55" s="442"/>
      <c r="F55" s="442"/>
      <c r="G55" s="442"/>
      <c r="H55" s="443"/>
      <c r="I55" s="443"/>
      <c r="J55" s="444"/>
      <c r="K55" s="445" t="s">
        <v>95</v>
      </c>
      <c r="L55" s="445"/>
      <c r="M55" s="441"/>
      <c r="N55" s="441"/>
      <c r="O55" s="441"/>
      <c r="P55" s="441"/>
      <c r="Q55" s="441"/>
      <c r="R55" s="446"/>
    </row>
    <row r="56" s="341" customFormat="1" ht="15" customHeight="1" spans="1:23">
      <c r="A56" s="342"/>
      <c r="B56" s="425">
        <f>报关资料录入!B45</f>
        <v>13</v>
      </c>
      <c r="C56" s="426">
        <f>报关资料录入!C45</f>
        <v>0</v>
      </c>
      <c r="D56" s="426"/>
      <c r="E56" s="427">
        <f>报关资料录入!E45</f>
        <v>0</v>
      </c>
      <c r="F56" s="427"/>
      <c r="G56" s="427"/>
      <c r="H56" s="428">
        <f>报关资料录入!J45</f>
        <v>1</v>
      </c>
      <c r="I56" s="428"/>
      <c r="J56" s="427" t="str">
        <f>报关资料录入!K45</f>
        <v>个</v>
      </c>
      <c r="K56" s="429">
        <f>报关资料录入!L45</f>
        <v>0</v>
      </c>
      <c r="L56" s="429"/>
      <c r="M56" s="437" t="s">
        <v>41</v>
      </c>
      <c r="N56" s="437" t="str">
        <f>N53</f>
        <v>美国</v>
      </c>
      <c r="O56" s="437"/>
      <c r="P56" s="437" t="s">
        <v>36</v>
      </c>
      <c r="Q56" s="437"/>
      <c r="R56" s="438" t="s">
        <v>30</v>
      </c>
    </row>
    <row r="57" s="341" customFormat="1" ht="15" customHeight="1" spans="1:23">
      <c r="A57" s="342"/>
      <c r="B57" s="431"/>
      <c r="C57" s="432"/>
      <c r="D57" s="432"/>
      <c r="E57" s="433">
        <f>报关资料录入!E46</f>
        <v>0</v>
      </c>
      <c r="F57" s="433"/>
      <c r="G57" s="433"/>
      <c r="H57" s="434">
        <f>报关资料录入!J40</f>
        <v>0</v>
      </c>
      <c r="I57" s="434"/>
      <c r="J57" s="435">
        <f>报关资料录入!K40</f>
        <v>0</v>
      </c>
      <c r="K57" s="436">
        <f>H56*K56</f>
        <v>0</v>
      </c>
      <c r="L57" s="436"/>
      <c r="M57" s="437"/>
      <c r="N57" s="432"/>
      <c r="O57" s="432"/>
      <c r="P57" s="432"/>
      <c r="Q57" s="432"/>
      <c r="R57" s="438"/>
    </row>
    <row r="58" s="341" customFormat="1" ht="15" customHeight="1" spans="1:23">
      <c r="A58" s="439"/>
      <c r="B58" s="440"/>
      <c r="C58" s="441"/>
      <c r="D58" s="441"/>
      <c r="E58" s="442"/>
      <c r="F58" s="442"/>
      <c r="G58" s="442"/>
      <c r="H58" s="443"/>
      <c r="I58" s="443"/>
      <c r="J58" s="444"/>
      <c r="K58" s="445" t="s">
        <v>95</v>
      </c>
      <c r="L58" s="445"/>
      <c r="M58" s="441"/>
      <c r="N58" s="441"/>
      <c r="O58" s="441"/>
      <c r="P58" s="441"/>
      <c r="Q58" s="441"/>
      <c r="R58" s="446"/>
    </row>
    <row r="59" s="341" customFormat="1" ht="15" customHeight="1" spans="1:23">
      <c r="A59" s="342"/>
      <c r="B59" s="431">
        <f>报关资料录入!B47</f>
        <v>14</v>
      </c>
      <c r="C59" s="432">
        <f>报关资料录入!C47</f>
        <v>0</v>
      </c>
      <c r="D59" s="432"/>
      <c r="E59" s="447">
        <f>报关资料录入!E47</f>
        <v>0</v>
      </c>
      <c r="F59" s="447"/>
      <c r="G59" s="447"/>
      <c r="H59" s="448">
        <f>报关资料录入!J47</f>
        <v>1</v>
      </c>
      <c r="I59" s="448"/>
      <c r="J59" s="447" t="str">
        <f>报关资料录入!K47</f>
        <v>个</v>
      </c>
      <c r="K59" s="449">
        <f>报关资料录入!L47</f>
        <v>0</v>
      </c>
      <c r="L59" s="449"/>
      <c r="M59" s="437" t="s">
        <v>41</v>
      </c>
      <c r="N59" s="437" t="str">
        <f>N56</f>
        <v>美国</v>
      </c>
      <c r="O59" s="437"/>
      <c r="P59" s="437" t="s">
        <v>36</v>
      </c>
      <c r="Q59" s="437"/>
      <c r="R59" s="438" t="s">
        <v>30</v>
      </c>
    </row>
    <row r="60" s="341" customFormat="1" ht="15" customHeight="1" spans="1:23">
      <c r="A60" s="342"/>
      <c r="B60" s="431"/>
      <c r="C60" s="432"/>
      <c r="D60" s="432"/>
      <c r="E60" s="433">
        <f>报关资料录入!E48</f>
        <v>0</v>
      </c>
      <c r="F60" s="433"/>
      <c r="G60" s="433"/>
      <c r="H60" s="434">
        <f>报关资料录入!J42</f>
        <v>0</v>
      </c>
      <c r="I60" s="434"/>
      <c r="J60" s="435">
        <f>报关资料录入!K42</f>
        <v>0</v>
      </c>
      <c r="K60" s="436">
        <f>K59*H59</f>
        <v>0</v>
      </c>
      <c r="L60" s="436"/>
      <c r="M60" s="437"/>
      <c r="N60" s="432"/>
      <c r="O60" s="432"/>
      <c r="P60" s="432"/>
      <c r="Q60" s="432"/>
      <c r="R60" s="438"/>
    </row>
    <row r="61" s="341" customFormat="1" ht="15" customHeight="1" spans="1:23">
      <c r="A61" s="439"/>
      <c r="B61" s="431"/>
      <c r="C61" s="441"/>
      <c r="D61" s="441"/>
      <c r="E61" s="442"/>
      <c r="F61" s="442"/>
      <c r="G61" s="442"/>
      <c r="H61" s="443"/>
      <c r="I61" s="443"/>
      <c r="J61" s="444"/>
      <c r="K61" s="445" t="s">
        <v>95</v>
      </c>
      <c r="L61" s="445"/>
      <c r="M61" s="441"/>
      <c r="N61" s="441"/>
      <c r="O61" s="441"/>
      <c r="P61" s="441"/>
      <c r="Q61" s="441"/>
      <c r="R61" s="446"/>
      <c r="V61" s="343"/>
      <c r="W61" s="343"/>
    </row>
    <row r="62" s="341" customFormat="1" ht="15" customHeight="1" spans="1:23">
      <c r="A62" s="439"/>
      <c r="B62" s="431">
        <f>报关资料录入!B49</f>
        <v>15</v>
      </c>
      <c r="C62" s="432">
        <f>报关资料录入!C49</f>
        <v>0</v>
      </c>
      <c r="D62" s="432"/>
      <c r="E62" s="447">
        <f>报关资料录入!E49</f>
        <v>0</v>
      </c>
      <c r="F62" s="447"/>
      <c r="G62" s="447"/>
      <c r="H62" s="434">
        <f>报关资料录入!J49</f>
        <v>1</v>
      </c>
      <c r="I62" s="434"/>
      <c r="J62" s="435" t="str">
        <f>报关资料录入!K49</f>
        <v>个</v>
      </c>
      <c r="K62" s="449">
        <f>报关资料录入!L49</f>
        <v>0</v>
      </c>
      <c r="L62" s="449"/>
      <c r="M62" s="437" t="s">
        <v>41</v>
      </c>
      <c r="N62" s="437" t="str">
        <f>N59</f>
        <v>美国</v>
      </c>
      <c r="O62" s="437"/>
      <c r="P62" s="437" t="s">
        <v>36</v>
      </c>
      <c r="Q62" s="437"/>
      <c r="R62" s="438" t="s">
        <v>30</v>
      </c>
      <c r="V62" s="343"/>
      <c r="W62" s="343"/>
    </row>
    <row r="63" s="341" customFormat="1" ht="15" customHeight="1" spans="1:23">
      <c r="A63" s="439"/>
      <c r="B63" s="431"/>
      <c r="C63" s="432"/>
      <c r="D63" s="432"/>
      <c r="E63" s="433">
        <f>报关资料录入!E50</f>
        <v>0</v>
      </c>
      <c r="F63" s="433"/>
      <c r="G63" s="433"/>
      <c r="H63" s="458"/>
      <c r="I63" s="458"/>
      <c r="J63" s="458"/>
      <c r="K63" s="436">
        <f>K62*H62</f>
        <v>0</v>
      </c>
      <c r="L63" s="436"/>
      <c r="M63" s="437"/>
      <c r="N63" s="432"/>
      <c r="O63" s="432"/>
      <c r="P63" s="432"/>
      <c r="Q63" s="432"/>
      <c r="R63" s="438"/>
    </row>
    <row r="64" s="341" customFormat="1" ht="15" customHeight="1" spans="1:23">
      <c r="A64" s="439"/>
      <c r="B64" s="431"/>
      <c r="C64" s="441"/>
      <c r="D64" s="441"/>
      <c r="E64" s="442"/>
      <c r="F64" s="442"/>
      <c r="G64" s="442"/>
      <c r="H64" s="443"/>
      <c r="I64" s="443"/>
      <c r="J64" s="444"/>
      <c r="K64" s="445" t="s">
        <v>95</v>
      </c>
      <c r="L64" s="445"/>
      <c r="M64" s="441"/>
      <c r="N64" s="441"/>
      <c r="O64" s="441"/>
      <c r="P64" s="441"/>
      <c r="Q64" s="441"/>
      <c r="R64" s="446"/>
    </row>
    <row r="65" s="341" customFormat="1" ht="15" customHeight="1" spans="1:18">
      <c r="A65" s="439"/>
      <c r="B65" s="431">
        <f>报关资料录入!B51</f>
        <v>16</v>
      </c>
      <c r="C65" s="432">
        <f>报关资料录入!C51</f>
        <v>0</v>
      </c>
      <c r="D65" s="432"/>
      <c r="E65" s="447">
        <f>报关资料录入!E51</f>
        <v>0</v>
      </c>
      <c r="F65" s="447"/>
      <c r="G65" s="447"/>
      <c r="H65" s="434">
        <f>报关资料录入!J51</f>
        <v>1</v>
      </c>
      <c r="I65" s="434"/>
      <c r="J65" s="447" t="str">
        <f>报关资料录入!K51</f>
        <v>个</v>
      </c>
      <c r="K65" s="449">
        <f>报关资料录入!L51</f>
        <v>0</v>
      </c>
      <c r="L65" s="449"/>
      <c r="M65" s="437" t="s">
        <v>41</v>
      </c>
      <c r="N65" s="437" t="str">
        <f>N62</f>
        <v>美国</v>
      </c>
      <c r="O65" s="437"/>
      <c r="P65" s="437" t="s">
        <v>36</v>
      </c>
      <c r="Q65" s="437"/>
      <c r="R65" s="438" t="s">
        <v>30</v>
      </c>
    </row>
    <row r="66" s="341" customFormat="1" ht="15" customHeight="1" spans="1:18">
      <c r="A66" s="439"/>
      <c r="B66" s="431"/>
      <c r="C66" s="432"/>
      <c r="D66" s="432"/>
      <c r="E66" s="433">
        <f>报关资料录入!E52</f>
        <v>0</v>
      </c>
      <c r="F66" s="433"/>
      <c r="G66" s="433"/>
      <c r="H66" s="434">
        <f>报关资料录入!J48</f>
        <v>0</v>
      </c>
      <c r="I66" s="434"/>
      <c r="J66" s="435">
        <f>报关资料录入!K48</f>
        <v>0</v>
      </c>
      <c r="K66" s="436">
        <f>K65*H65</f>
        <v>0</v>
      </c>
      <c r="L66" s="436"/>
      <c r="M66" s="437"/>
      <c r="N66" s="432"/>
      <c r="O66" s="432"/>
      <c r="P66" s="432"/>
      <c r="Q66" s="432"/>
      <c r="R66" s="438"/>
    </row>
    <row r="67" s="341" customFormat="1" ht="15" customHeight="1" spans="1:18">
      <c r="A67" s="439"/>
      <c r="B67" s="431"/>
      <c r="C67" s="441"/>
      <c r="D67" s="441"/>
      <c r="E67" s="442"/>
      <c r="F67" s="442"/>
      <c r="G67" s="442"/>
      <c r="H67" s="443"/>
      <c r="I67" s="443"/>
      <c r="J67" s="444"/>
      <c r="K67" s="445" t="s">
        <v>95</v>
      </c>
      <c r="L67" s="445"/>
      <c r="M67" s="441"/>
      <c r="N67" s="441"/>
      <c r="O67" s="441"/>
      <c r="P67" s="441"/>
      <c r="Q67" s="441"/>
      <c r="R67" s="446"/>
    </row>
    <row r="68" s="341" customFormat="1" ht="15" customHeight="1" spans="1:18">
      <c r="A68" s="439"/>
      <c r="B68" s="431">
        <f>报关资料录入!B53</f>
        <v>17</v>
      </c>
      <c r="C68" s="432">
        <f>报关资料录入!C53</f>
        <v>0</v>
      </c>
      <c r="D68" s="432"/>
      <c r="E68" s="447">
        <f>报关资料录入!E53</f>
        <v>0</v>
      </c>
      <c r="F68" s="447"/>
      <c r="G68" s="447"/>
      <c r="H68" s="434">
        <f>报关资料录入!J53</f>
        <v>1</v>
      </c>
      <c r="I68" s="434"/>
      <c r="J68" s="435" t="str">
        <f>报关资料录入!K53</f>
        <v>个</v>
      </c>
      <c r="K68" s="449">
        <f>报关资料录入!L53</f>
        <v>0</v>
      </c>
      <c r="L68" s="449"/>
      <c r="M68" s="437" t="s">
        <v>41</v>
      </c>
      <c r="N68" s="437" t="str">
        <f>N65</f>
        <v>美国</v>
      </c>
      <c r="O68" s="437"/>
      <c r="P68" s="437" t="s">
        <v>36</v>
      </c>
      <c r="Q68" s="437"/>
      <c r="R68" s="438" t="s">
        <v>30</v>
      </c>
    </row>
    <row r="69" s="341" customFormat="1" ht="15" customHeight="1" spans="1:18">
      <c r="A69" s="439"/>
      <c r="B69" s="431"/>
      <c r="C69" s="432"/>
      <c r="D69" s="432"/>
      <c r="E69" s="433">
        <f>报关资料录入!E54</f>
        <v>0</v>
      </c>
      <c r="F69" s="433"/>
      <c r="G69" s="433"/>
      <c r="H69" s="458"/>
      <c r="I69" s="458"/>
      <c r="J69" s="458"/>
      <c r="K69" s="436">
        <f>K68*H68</f>
        <v>0</v>
      </c>
      <c r="L69" s="436"/>
      <c r="M69" s="437"/>
      <c r="N69" s="432"/>
      <c r="O69" s="432"/>
      <c r="P69" s="432"/>
      <c r="Q69" s="432"/>
      <c r="R69" s="438"/>
    </row>
    <row r="70" s="341" customFormat="1" ht="15" customHeight="1" spans="1:18">
      <c r="A70" s="439"/>
      <c r="B70" s="431"/>
      <c r="C70" s="441"/>
      <c r="D70" s="441"/>
      <c r="E70" s="442"/>
      <c r="F70" s="442"/>
      <c r="G70" s="442"/>
      <c r="H70" s="443"/>
      <c r="I70" s="443"/>
      <c r="J70" s="444"/>
      <c r="K70" s="445" t="s">
        <v>95</v>
      </c>
      <c r="L70" s="445"/>
      <c r="M70" s="441"/>
      <c r="N70" s="441"/>
      <c r="O70" s="441"/>
      <c r="P70" s="441"/>
      <c r="Q70" s="441"/>
      <c r="R70" s="446"/>
    </row>
    <row r="71" s="341" customFormat="1" ht="15" customHeight="1" spans="1:18">
      <c r="A71" s="439"/>
      <c r="B71" s="431">
        <f>报关资料录入!B55</f>
        <v>18</v>
      </c>
      <c r="C71" s="432">
        <f>报关资料录入!C55</f>
        <v>0</v>
      </c>
      <c r="D71" s="432"/>
      <c r="E71" s="447">
        <f>报关资料录入!E55</f>
        <v>0</v>
      </c>
      <c r="F71" s="447"/>
      <c r="G71" s="447"/>
      <c r="H71" s="448">
        <f>报关资料录入!J55</f>
        <v>1</v>
      </c>
      <c r="I71" s="448"/>
      <c r="J71" s="447" t="str">
        <f>报关资料录入!K55</f>
        <v>个</v>
      </c>
      <c r="K71" s="449">
        <f>报关资料录入!L55</f>
        <v>0</v>
      </c>
      <c r="L71" s="449"/>
      <c r="M71" s="437" t="s">
        <v>41</v>
      </c>
      <c r="N71" s="437" t="str">
        <f>N68</f>
        <v>美国</v>
      </c>
      <c r="O71" s="437"/>
      <c r="P71" s="437" t="s">
        <v>36</v>
      </c>
      <c r="Q71" s="437"/>
      <c r="R71" s="438" t="s">
        <v>30</v>
      </c>
    </row>
    <row r="72" s="341" customFormat="1" ht="15" customHeight="1" spans="1:18">
      <c r="A72" s="439"/>
      <c r="B72" s="431"/>
      <c r="C72" s="432"/>
      <c r="D72" s="432"/>
      <c r="E72" s="433">
        <f>报关资料录入!E56</f>
        <v>0</v>
      </c>
      <c r="F72" s="433"/>
      <c r="G72" s="433"/>
      <c r="H72" s="434"/>
      <c r="I72" s="434"/>
      <c r="J72" s="435">
        <f>报关资料录入!K54</f>
        <v>0</v>
      </c>
      <c r="K72" s="436">
        <f>K71*H71</f>
        <v>0</v>
      </c>
      <c r="L72" s="436"/>
      <c r="M72" s="437"/>
      <c r="N72" s="432"/>
      <c r="O72" s="432"/>
      <c r="P72" s="432"/>
      <c r="Q72" s="432"/>
      <c r="R72" s="438"/>
    </row>
    <row r="73" s="341" customFormat="1" ht="15" customHeight="1" spans="1:18">
      <c r="A73" s="439"/>
      <c r="B73" s="431"/>
      <c r="C73" s="441"/>
      <c r="D73" s="441"/>
      <c r="E73" s="442"/>
      <c r="F73" s="442"/>
      <c r="G73" s="442"/>
      <c r="H73" s="443"/>
      <c r="I73" s="443"/>
      <c r="J73" s="444"/>
      <c r="K73" s="445" t="s">
        <v>95</v>
      </c>
      <c r="L73" s="445"/>
      <c r="M73" s="441"/>
      <c r="N73" s="441"/>
      <c r="O73" s="441"/>
      <c r="P73" s="441"/>
      <c r="Q73" s="441"/>
      <c r="R73" s="446"/>
    </row>
    <row r="74" s="341" customFormat="1" ht="15" customHeight="1" spans="1:18">
      <c r="A74" s="439"/>
      <c r="B74" s="431">
        <f>报关资料录入!B57</f>
        <v>19</v>
      </c>
      <c r="C74" s="432">
        <f>报关资料录入!C57</f>
        <v>0</v>
      </c>
      <c r="D74" s="432"/>
      <c r="E74" s="447">
        <f>报关资料录入!E57</f>
        <v>0</v>
      </c>
      <c r="F74" s="447"/>
      <c r="G74" s="447"/>
      <c r="H74" s="434">
        <f>报关资料录入!J57</f>
        <v>1</v>
      </c>
      <c r="I74" s="434"/>
      <c r="J74" s="435" t="str">
        <f>报关资料录入!K57</f>
        <v>个</v>
      </c>
      <c r="K74" s="449">
        <f>报关资料录入!L57</f>
        <v>0</v>
      </c>
      <c r="L74" s="449"/>
      <c r="M74" s="437" t="s">
        <v>41</v>
      </c>
      <c r="N74" s="437" t="str">
        <f>N71</f>
        <v>美国</v>
      </c>
      <c r="O74" s="437"/>
      <c r="P74" s="437" t="s">
        <v>36</v>
      </c>
      <c r="Q74" s="437"/>
      <c r="R74" s="438" t="s">
        <v>30</v>
      </c>
    </row>
    <row r="75" s="341" customFormat="1" ht="15" customHeight="1" spans="1:18">
      <c r="A75" s="439"/>
      <c r="B75" s="431"/>
      <c r="C75" s="432"/>
      <c r="D75" s="432"/>
      <c r="E75" s="433">
        <f>报关资料录入!E58</f>
        <v>0</v>
      </c>
      <c r="F75" s="433"/>
      <c r="G75" s="433"/>
      <c r="H75" s="458"/>
      <c r="I75" s="458"/>
      <c r="J75" s="458"/>
      <c r="K75" s="436">
        <f>K74*H74</f>
        <v>0</v>
      </c>
      <c r="L75" s="436"/>
      <c r="M75" s="437"/>
      <c r="N75" s="432"/>
      <c r="O75" s="432"/>
      <c r="P75" s="432"/>
      <c r="Q75" s="432"/>
      <c r="R75" s="438"/>
    </row>
    <row r="76" s="341" customFormat="1" ht="15" customHeight="1" spans="1:18">
      <c r="A76" s="439"/>
      <c r="B76" s="431"/>
      <c r="C76" s="441"/>
      <c r="D76" s="441"/>
      <c r="E76" s="442"/>
      <c r="F76" s="442"/>
      <c r="G76" s="442"/>
      <c r="H76" s="443"/>
      <c r="I76" s="443"/>
      <c r="J76" s="444"/>
      <c r="K76" s="445" t="s">
        <v>95</v>
      </c>
      <c r="L76" s="445"/>
      <c r="M76" s="441"/>
      <c r="N76" s="441"/>
      <c r="O76" s="441"/>
      <c r="P76" s="441"/>
      <c r="Q76" s="441"/>
      <c r="R76" s="446"/>
    </row>
    <row r="77" s="341" customFormat="1" ht="15" customHeight="1" spans="1:18">
      <c r="A77" s="439"/>
      <c r="B77" s="431">
        <f>报关资料录入!B59</f>
        <v>20</v>
      </c>
      <c r="C77" s="432">
        <f>报关资料录入!C59</f>
        <v>0</v>
      </c>
      <c r="D77" s="432"/>
      <c r="E77" s="447">
        <f>报关资料录入!E59</f>
        <v>0</v>
      </c>
      <c r="F77" s="447"/>
      <c r="G77" s="447"/>
      <c r="H77" s="434">
        <f>报关资料录入!J59</f>
        <v>1</v>
      </c>
      <c r="I77" s="434"/>
      <c r="J77" s="447" t="str">
        <f>报关资料录入!K59</f>
        <v>个</v>
      </c>
      <c r="K77" s="449">
        <f>报关资料录入!L59</f>
        <v>0</v>
      </c>
      <c r="L77" s="449"/>
      <c r="M77" s="437" t="s">
        <v>41</v>
      </c>
      <c r="N77" s="437" t="str">
        <f>N74</f>
        <v>美国</v>
      </c>
      <c r="O77" s="437"/>
      <c r="P77" s="437" t="s">
        <v>36</v>
      </c>
      <c r="Q77" s="437"/>
      <c r="R77" s="438" t="s">
        <v>30</v>
      </c>
    </row>
    <row r="78" s="341" customFormat="1" ht="15" customHeight="1" spans="1:18">
      <c r="A78" s="439"/>
      <c r="B78" s="431"/>
      <c r="C78" s="432"/>
      <c r="D78" s="432"/>
      <c r="E78" s="433">
        <f>报关资料录入!E60</f>
        <v>0</v>
      </c>
      <c r="F78" s="433"/>
      <c r="G78" s="433"/>
      <c r="H78" s="434">
        <f>报关资料录入!J60</f>
        <v>0</v>
      </c>
      <c r="I78" s="434"/>
      <c r="J78" s="435">
        <f>报关资料录入!K60</f>
        <v>0</v>
      </c>
      <c r="K78" s="436">
        <f>K77*H77</f>
        <v>0</v>
      </c>
      <c r="L78" s="436"/>
      <c r="M78" s="437"/>
      <c r="N78" s="432"/>
      <c r="O78" s="432"/>
      <c r="P78" s="432"/>
      <c r="Q78" s="432"/>
      <c r="R78" s="438"/>
    </row>
    <row r="79" s="341" customFormat="1" ht="15" customHeight="1" spans="1:18">
      <c r="A79" s="439"/>
      <c r="B79" s="431"/>
      <c r="C79" s="441"/>
      <c r="D79" s="441"/>
      <c r="E79" s="442"/>
      <c r="F79" s="442"/>
      <c r="G79" s="442"/>
      <c r="H79" s="443"/>
      <c r="I79" s="443"/>
      <c r="J79" s="444"/>
      <c r="K79" s="445" t="s">
        <v>95</v>
      </c>
      <c r="L79" s="445"/>
      <c r="M79" s="441"/>
      <c r="N79" s="441"/>
      <c r="O79" s="441"/>
      <c r="P79" s="441"/>
      <c r="Q79" s="441"/>
      <c r="R79" s="446"/>
    </row>
    <row r="80" s="341" customFormat="1" ht="15" customHeight="1" spans="1:18">
      <c r="A80" s="439"/>
      <c r="B80" s="431">
        <f>报关资料录入!B61</f>
        <v>21</v>
      </c>
      <c r="C80" s="432">
        <f>报关资料录入!C61</f>
        <v>0</v>
      </c>
      <c r="D80" s="432"/>
      <c r="E80" s="447">
        <f>报关资料录入!E61</f>
        <v>0</v>
      </c>
      <c r="F80" s="447"/>
      <c r="G80" s="447"/>
      <c r="H80" s="434">
        <f>报关资料录入!J61</f>
        <v>1</v>
      </c>
      <c r="I80" s="434"/>
      <c r="J80" s="447" t="str">
        <f>报关资料录入!K61</f>
        <v>个</v>
      </c>
      <c r="K80" s="449">
        <f>报关资料录入!L61</f>
        <v>0</v>
      </c>
      <c r="L80" s="449"/>
      <c r="M80" s="437" t="s">
        <v>41</v>
      </c>
      <c r="N80" s="437" t="str">
        <f>N77</f>
        <v>美国</v>
      </c>
      <c r="O80" s="437"/>
      <c r="P80" s="437" t="s">
        <v>36</v>
      </c>
      <c r="Q80" s="437"/>
      <c r="R80" s="438" t="s">
        <v>30</v>
      </c>
    </row>
    <row r="81" s="341" customFormat="1" ht="15" customHeight="1" spans="1:18">
      <c r="A81" s="439"/>
      <c r="B81" s="431"/>
      <c r="C81" s="432"/>
      <c r="D81" s="432"/>
      <c r="E81" s="433">
        <f>报关资料录入!E62</f>
        <v>0</v>
      </c>
      <c r="F81" s="433"/>
      <c r="G81" s="433"/>
      <c r="H81" s="458"/>
      <c r="I81" s="458"/>
      <c r="J81" s="435">
        <f>报关资料录入!K66</f>
        <v>0</v>
      </c>
      <c r="K81" s="436">
        <f>K80*H80</f>
        <v>0</v>
      </c>
      <c r="L81" s="436"/>
      <c r="M81" s="437"/>
      <c r="N81" s="432"/>
      <c r="O81" s="432"/>
      <c r="P81" s="432"/>
      <c r="Q81" s="432"/>
      <c r="R81" s="438"/>
    </row>
    <row r="82" s="341" customFormat="1" ht="15" customHeight="1" spans="1:18">
      <c r="A82" s="439"/>
      <c r="B82" s="431"/>
      <c r="C82" s="441"/>
      <c r="D82" s="441"/>
      <c r="E82" s="442"/>
      <c r="F82" s="442"/>
      <c r="G82" s="442"/>
      <c r="H82" s="443"/>
      <c r="I82" s="443"/>
      <c r="J82" s="444"/>
      <c r="K82" s="445" t="s">
        <v>95</v>
      </c>
      <c r="L82" s="445"/>
      <c r="M82" s="441"/>
      <c r="N82" s="441"/>
      <c r="O82" s="441"/>
      <c r="P82" s="441"/>
      <c r="Q82" s="441"/>
      <c r="R82" s="446"/>
    </row>
    <row r="83" s="341" customFormat="1" ht="15" customHeight="1" spans="1:18">
      <c r="A83" s="439"/>
      <c r="B83" s="431">
        <f>报关资料录入!B63</f>
        <v>22</v>
      </c>
      <c r="C83" s="432">
        <f>报关资料录入!C63</f>
        <v>0</v>
      </c>
      <c r="D83" s="432"/>
      <c r="E83" s="447">
        <f>报关资料录入!E63</f>
        <v>0</v>
      </c>
      <c r="F83" s="447"/>
      <c r="G83" s="447"/>
      <c r="H83" s="434">
        <f>报关资料录入!J63</f>
        <v>1</v>
      </c>
      <c r="I83" s="434"/>
      <c r="J83" s="447" t="str">
        <f>报关资料录入!K63</f>
        <v>个</v>
      </c>
      <c r="K83" s="449">
        <f>报关资料录入!L63</f>
        <v>0</v>
      </c>
      <c r="L83" s="449"/>
      <c r="M83" s="437" t="s">
        <v>41</v>
      </c>
      <c r="N83" s="437" t="str">
        <f>N80</f>
        <v>美国</v>
      </c>
      <c r="O83" s="437"/>
      <c r="P83" s="437" t="s">
        <v>36</v>
      </c>
      <c r="Q83" s="437"/>
      <c r="R83" s="438" t="s">
        <v>30</v>
      </c>
    </row>
    <row r="84" s="341" customFormat="1" ht="15" customHeight="1" spans="1:18">
      <c r="A84" s="439"/>
      <c r="B84" s="431"/>
      <c r="C84" s="432"/>
      <c r="D84" s="432"/>
      <c r="E84" s="433">
        <f>报关资料录入!E64</f>
        <v>0</v>
      </c>
      <c r="F84" s="433"/>
      <c r="G84" s="433"/>
      <c r="H84" s="434">
        <f>报关资料录入!J66</f>
        <v>0</v>
      </c>
      <c r="I84" s="434"/>
      <c r="J84" s="435"/>
      <c r="K84" s="436">
        <f>K83*H83</f>
        <v>0</v>
      </c>
      <c r="L84" s="436"/>
      <c r="M84" s="437"/>
      <c r="N84" s="432"/>
      <c r="O84" s="432"/>
      <c r="P84" s="432"/>
      <c r="Q84" s="432"/>
      <c r="R84" s="438"/>
    </row>
    <row r="85" s="341" customFormat="1" ht="15" customHeight="1" spans="1:18">
      <c r="A85" s="439"/>
      <c r="B85" s="431"/>
      <c r="C85" s="441"/>
      <c r="D85" s="441"/>
      <c r="E85" s="442"/>
      <c r="F85" s="442"/>
      <c r="G85" s="442"/>
      <c r="H85" s="443"/>
      <c r="I85" s="443"/>
      <c r="J85" s="444"/>
      <c r="K85" s="445" t="s">
        <v>95</v>
      </c>
      <c r="L85" s="445"/>
      <c r="M85" s="441"/>
      <c r="N85" s="441"/>
      <c r="O85" s="441"/>
      <c r="P85" s="441"/>
      <c r="Q85" s="441"/>
      <c r="R85" s="446"/>
    </row>
    <row r="86" s="341" customFormat="1" ht="15" customHeight="1" spans="1:18">
      <c r="A86" s="439"/>
      <c r="B86" s="431">
        <f>报关资料录入!B65</f>
        <v>23</v>
      </c>
      <c r="C86" s="432">
        <f>报关资料录入!C65</f>
        <v>0</v>
      </c>
      <c r="D86" s="432"/>
      <c r="E86" s="427">
        <f>报关资料录入!E65</f>
        <v>0</v>
      </c>
      <c r="F86" s="427"/>
      <c r="G86" s="427"/>
      <c r="H86" s="434">
        <f>报关资料录入!J65</f>
        <v>1</v>
      </c>
      <c r="I86" s="434"/>
      <c r="J86" s="447" t="str">
        <f>报关资料录入!K65</f>
        <v>个</v>
      </c>
      <c r="K86" s="449">
        <f>报关资料录入!L65</f>
        <v>0</v>
      </c>
      <c r="L86" s="449"/>
      <c r="M86" s="437" t="s">
        <v>41</v>
      </c>
      <c r="N86" s="437" t="str">
        <f>N83</f>
        <v>美国</v>
      </c>
      <c r="O86" s="437"/>
      <c r="P86" s="437" t="s">
        <v>36</v>
      </c>
      <c r="Q86" s="437"/>
      <c r="R86" s="438" t="s">
        <v>30</v>
      </c>
    </row>
    <row r="87" s="341" customFormat="1" ht="15" customHeight="1" spans="1:18">
      <c r="A87" s="439"/>
      <c r="B87" s="431"/>
      <c r="C87" s="432"/>
      <c r="D87" s="432"/>
      <c r="E87" s="433">
        <f>报关资料录入!E66</f>
        <v>0</v>
      </c>
      <c r="F87" s="433"/>
      <c r="G87" s="433"/>
      <c r="H87" s="458"/>
      <c r="I87" s="458"/>
      <c r="J87" s="435">
        <f>报关资料录入!K85</f>
        <v>0</v>
      </c>
      <c r="K87" s="436">
        <f>K86*H86</f>
        <v>0</v>
      </c>
      <c r="L87" s="436"/>
      <c r="M87" s="437"/>
      <c r="N87" s="432"/>
      <c r="O87" s="432"/>
      <c r="P87" s="432"/>
      <c r="Q87" s="432"/>
      <c r="R87" s="438"/>
    </row>
    <row r="88" s="341" customFormat="1" ht="15" customHeight="1" spans="1:18">
      <c r="A88" s="439"/>
      <c r="B88" s="440"/>
      <c r="C88" s="441"/>
      <c r="D88" s="441"/>
      <c r="E88" s="442"/>
      <c r="F88" s="442"/>
      <c r="G88" s="442"/>
      <c r="H88" s="443"/>
      <c r="I88" s="443"/>
      <c r="J88" s="444"/>
      <c r="K88" s="445" t="s">
        <v>95</v>
      </c>
      <c r="L88" s="445"/>
      <c r="M88" s="441"/>
      <c r="N88" s="441"/>
      <c r="O88" s="441"/>
      <c r="P88" s="441"/>
      <c r="Q88" s="441"/>
      <c r="R88" s="446"/>
    </row>
    <row r="89" s="341" customFormat="1" ht="15" customHeight="1" spans="1:18">
      <c r="A89" s="439"/>
      <c r="B89" s="431">
        <f>报关资料录入!B67</f>
        <v>24</v>
      </c>
      <c r="C89" s="432">
        <f>报关资料录入!C67</f>
        <v>0</v>
      </c>
      <c r="D89" s="432"/>
      <c r="E89" s="427">
        <f>报关资料录入!E67</f>
        <v>0</v>
      </c>
      <c r="F89" s="427"/>
      <c r="G89" s="427"/>
      <c r="H89" s="434">
        <f>报关资料录入!J67</f>
        <v>1</v>
      </c>
      <c r="I89" s="434"/>
      <c r="J89" s="447" t="str">
        <f>报关资料录入!K67</f>
        <v>个</v>
      </c>
      <c r="K89" s="449">
        <f>报关资料录入!L67</f>
        <v>0</v>
      </c>
      <c r="L89" s="449"/>
      <c r="M89" s="437" t="s">
        <v>41</v>
      </c>
      <c r="N89" s="437" t="str">
        <f>N86</f>
        <v>美国</v>
      </c>
      <c r="O89" s="437"/>
      <c r="P89" s="437" t="s">
        <v>36</v>
      </c>
      <c r="Q89" s="437"/>
      <c r="R89" s="438" t="s">
        <v>30</v>
      </c>
    </row>
    <row r="90" s="341" customFormat="1" ht="15" customHeight="1" spans="1:18">
      <c r="A90" s="439"/>
      <c r="B90" s="431"/>
      <c r="C90" s="432"/>
      <c r="D90" s="432"/>
      <c r="E90" s="433">
        <f>报关资料录入!E68</f>
        <v>0</v>
      </c>
      <c r="F90" s="433"/>
      <c r="G90" s="433"/>
      <c r="H90" s="434">
        <f>报关资料录入!J72</f>
        <v>0</v>
      </c>
      <c r="I90" s="434"/>
      <c r="J90" s="435">
        <f>报关资料录入!K88</f>
        <v>0</v>
      </c>
      <c r="K90" s="436">
        <f>K89*H89</f>
        <v>0</v>
      </c>
      <c r="L90" s="436"/>
      <c r="M90" s="437"/>
      <c r="N90" s="432"/>
      <c r="O90" s="432"/>
      <c r="P90" s="432"/>
      <c r="Q90" s="432"/>
      <c r="R90" s="438"/>
    </row>
    <row r="91" s="341" customFormat="1" ht="15" customHeight="1" spans="1:18">
      <c r="A91" s="439"/>
      <c r="B91" s="440"/>
      <c r="C91" s="441"/>
      <c r="D91" s="441"/>
      <c r="E91" s="442"/>
      <c r="F91" s="442"/>
      <c r="G91" s="442"/>
      <c r="H91" s="443"/>
      <c r="I91" s="443"/>
      <c r="J91" s="444"/>
      <c r="K91" s="445" t="s">
        <v>95</v>
      </c>
      <c r="L91" s="445"/>
      <c r="M91" s="441"/>
      <c r="N91" s="441"/>
      <c r="O91" s="441"/>
      <c r="P91" s="441"/>
      <c r="Q91" s="441"/>
      <c r="R91" s="446"/>
    </row>
    <row r="92" s="341" customFormat="1" ht="15" customHeight="1" spans="1:18">
      <c r="A92" s="439"/>
      <c r="B92" s="431">
        <f>报关资料录入!B69</f>
        <v>25</v>
      </c>
      <c r="C92" s="432">
        <f>报关资料录入!C69</f>
        <v>0</v>
      </c>
      <c r="D92" s="432"/>
      <c r="E92" s="427">
        <f>报关资料录入!E69</f>
        <v>0</v>
      </c>
      <c r="F92" s="427"/>
      <c r="G92" s="427"/>
      <c r="H92" s="434">
        <f>报关资料录入!J69</f>
        <v>1</v>
      </c>
      <c r="I92" s="434"/>
      <c r="J92" s="447" t="str">
        <f>报关资料录入!K69</f>
        <v>个</v>
      </c>
      <c r="K92" s="449">
        <f>报关资料录入!L69</f>
        <v>0</v>
      </c>
      <c r="L92" s="449"/>
      <c r="M92" s="437" t="s">
        <v>41</v>
      </c>
      <c r="N92" s="437" t="str">
        <f>N89</f>
        <v>美国</v>
      </c>
      <c r="O92" s="437"/>
      <c r="P92" s="437" t="s">
        <v>36</v>
      </c>
      <c r="Q92" s="437"/>
      <c r="R92" s="438" t="s">
        <v>30</v>
      </c>
    </row>
    <row r="93" s="341" customFormat="1" ht="15" customHeight="1" spans="1:18">
      <c r="A93" s="439"/>
      <c r="B93" s="431"/>
      <c r="C93" s="432"/>
      <c r="D93" s="432"/>
      <c r="E93" s="433">
        <f>报关资料录入!E70</f>
        <v>0</v>
      </c>
      <c r="F93" s="433"/>
      <c r="G93" s="433"/>
      <c r="H93" s="458"/>
      <c r="I93" s="458"/>
      <c r="J93" s="435">
        <f>报关资料录入!K91</f>
        <v>0</v>
      </c>
      <c r="K93" s="436">
        <f>K92*H92</f>
        <v>0</v>
      </c>
      <c r="L93" s="436"/>
      <c r="M93" s="437"/>
      <c r="N93" s="432"/>
      <c r="O93" s="432"/>
      <c r="P93" s="432"/>
      <c r="Q93" s="432"/>
      <c r="R93" s="438"/>
    </row>
    <row r="94" s="341" customFormat="1" ht="15" customHeight="1" spans="1:18">
      <c r="A94" s="439"/>
      <c r="B94" s="440"/>
      <c r="C94" s="441"/>
      <c r="D94" s="441"/>
      <c r="E94" s="442"/>
      <c r="F94" s="442"/>
      <c r="G94" s="442"/>
      <c r="H94" s="443"/>
      <c r="I94" s="443"/>
      <c r="J94" s="444"/>
      <c r="K94" s="445" t="s">
        <v>95</v>
      </c>
      <c r="L94" s="445"/>
      <c r="M94" s="441"/>
      <c r="N94" s="441"/>
      <c r="O94" s="441"/>
      <c r="P94" s="441"/>
      <c r="Q94" s="441"/>
      <c r="R94" s="446"/>
    </row>
    <row r="95" s="341" customFormat="1" ht="15" customHeight="1" spans="1:18">
      <c r="A95" s="439"/>
      <c r="B95" s="431">
        <f>报关资料录入!B71</f>
        <v>26</v>
      </c>
      <c r="C95" s="432">
        <f>报关资料录入!C71</f>
        <v>0</v>
      </c>
      <c r="D95" s="432"/>
      <c r="E95" s="447">
        <f>报关资料录入!E71</f>
        <v>0</v>
      </c>
      <c r="F95" s="447"/>
      <c r="G95" s="447"/>
      <c r="H95" s="434">
        <f>报关资料录入!J71</f>
        <v>1</v>
      </c>
      <c r="I95" s="434"/>
      <c r="J95" s="447" t="str">
        <f>报关资料录入!K71</f>
        <v>个</v>
      </c>
      <c r="K95" s="449">
        <f>报关资料录入!L71</f>
        <v>0</v>
      </c>
      <c r="L95" s="449"/>
      <c r="M95" s="437" t="s">
        <v>41</v>
      </c>
      <c r="N95" s="437" t="str">
        <f>N92</f>
        <v>美国</v>
      </c>
      <c r="O95" s="437"/>
      <c r="P95" s="437" t="s">
        <v>36</v>
      </c>
      <c r="Q95" s="437"/>
      <c r="R95" s="438" t="s">
        <v>30</v>
      </c>
    </row>
    <row r="96" s="341" customFormat="1" ht="15" customHeight="1" spans="1:18">
      <c r="A96" s="439"/>
      <c r="B96" s="431"/>
      <c r="C96" s="432"/>
      <c r="D96" s="432"/>
      <c r="E96" s="433">
        <f>报关资料录入!E72</f>
        <v>0</v>
      </c>
      <c r="F96" s="433"/>
      <c r="G96" s="433"/>
      <c r="H96" s="434">
        <f>报关资料录入!J78</f>
        <v>0</v>
      </c>
      <c r="I96" s="434"/>
      <c r="J96" s="435"/>
      <c r="K96" s="436">
        <f>K95*H95</f>
        <v>0</v>
      </c>
      <c r="L96" s="436"/>
      <c r="M96" s="437"/>
      <c r="N96" s="432"/>
      <c r="O96" s="432"/>
      <c r="P96" s="432"/>
      <c r="Q96" s="432"/>
      <c r="R96" s="438"/>
    </row>
    <row r="97" s="341" customFormat="1" ht="15" customHeight="1" spans="1:18">
      <c r="A97" s="439"/>
      <c r="B97" s="431"/>
      <c r="C97" s="441"/>
      <c r="D97" s="441"/>
      <c r="E97" s="442"/>
      <c r="F97" s="442"/>
      <c r="G97" s="442"/>
      <c r="H97" s="443"/>
      <c r="I97" s="443"/>
      <c r="J97" s="444"/>
      <c r="K97" s="445" t="s">
        <v>95</v>
      </c>
      <c r="L97" s="445"/>
      <c r="M97" s="441"/>
      <c r="N97" s="441"/>
      <c r="O97" s="441"/>
      <c r="P97" s="441"/>
      <c r="Q97" s="441"/>
      <c r="R97" s="446"/>
    </row>
    <row r="98" s="341" customFormat="1" ht="15" customHeight="1" spans="1:18">
      <c r="A98" s="439"/>
      <c r="B98" s="431">
        <f>报关资料录入!B73</f>
        <v>27</v>
      </c>
      <c r="C98" s="432">
        <f>报关资料录入!C73</f>
        <v>0</v>
      </c>
      <c r="D98" s="432"/>
      <c r="E98" s="447">
        <f>报关资料录入!E73</f>
        <v>0</v>
      </c>
      <c r="F98" s="447"/>
      <c r="G98" s="447"/>
      <c r="H98" s="434">
        <f>报关资料录入!J73</f>
        <v>1</v>
      </c>
      <c r="I98" s="434"/>
      <c r="J98" s="447" t="str">
        <f>报关资料录入!K73</f>
        <v>个</v>
      </c>
      <c r="K98" s="449">
        <f>报关资料录入!L73</f>
        <v>0</v>
      </c>
      <c r="L98" s="449"/>
      <c r="M98" s="437" t="s">
        <v>41</v>
      </c>
      <c r="N98" s="437" t="str">
        <f>N95</f>
        <v>美国</v>
      </c>
      <c r="O98" s="437"/>
      <c r="P98" s="437" t="s">
        <v>36</v>
      </c>
      <c r="Q98" s="437"/>
      <c r="R98" s="438" t="s">
        <v>30</v>
      </c>
    </row>
    <row r="99" s="341" customFormat="1" ht="15" customHeight="1" spans="1:18">
      <c r="A99" s="439"/>
      <c r="B99" s="431"/>
      <c r="C99" s="432"/>
      <c r="D99" s="432"/>
      <c r="E99" s="433">
        <f>报关资料录入!E74</f>
        <v>0</v>
      </c>
      <c r="F99" s="433"/>
      <c r="G99" s="433"/>
      <c r="H99" s="458"/>
      <c r="I99" s="458"/>
      <c r="J99" s="435">
        <f>报关资料录入!K82</f>
        <v>0</v>
      </c>
      <c r="K99" s="436">
        <f>K98*H98</f>
        <v>0</v>
      </c>
      <c r="L99" s="436"/>
      <c r="M99" s="437"/>
      <c r="N99" s="432"/>
      <c r="O99" s="432"/>
      <c r="P99" s="432"/>
      <c r="Q99" s="432"/>
      <c r="R99" s="438"/>
    </row>
    <row r="100" s="341" customFormat="1" ht="15" customHeight="1" spans="1:18">
      <c r="A100" s="439"/>
      <c r="B100" s="431"/>
      <c r="C100" s="441"/>
      <c r="D100" s="441"/>
      <c r="E100" s="442"/>
      <c r="F100" s="442"/>
      <c r="G100" s="442"/>
      <c r="H100" s="443"/>
      <c r="I100" s="443"/>
      <c r="J100" s="444"/>
      <c r="K100" s="445" t="s">
        <v>95</v>
      </c>
      <c r="L100" s="445"/>
      <c r="M100" s="441"/>
      <c r="N100" s="441"/>
      <c r="O100" s="441"/>
      <c r="P100" s="441"/>
      <c r="Q100" s="441"/>
      <c r="R100" s="446"/>
    </row>
    <row r="101" s="341" customFormat="1" ht="15" customHeight="1" spans="1:18">
      <c r="A101" s="439"/>
      <c r="B101" s="431">
        <f>报关资料录入!B75</f>
        <v>28</v>
      </c>
      <c r="C101" s="432">
        <f>报关资料录入!C75</f>
        <v>0</v>
      </c>
      <c r="D101" s="432"/>
      <c r="E101" s="447">
        <f>报关资料录入!E75</f>
        <v>0</v>
      </c>
      <c r="F101" s="447"/>
      <c r="G101" s="447"/>
      <c r="H101" s="434">
        <f>报关资料录入!J75</f>
        <v>1</v>
      </c>
      <c r="I101" s="434"/>
      <c r="J101" s="447" t="str">
        <f>报关资料录入!K75</f>
        <v>个</v>
      </c>
      <c r="K101" s="449">
        <f>报关资料录入!L75</f>
        <v>0</v>
      </c>
      <c r="L101" s="449"/>
      <c r="M101" s="437" t="s">
        <v>41</v>
      </c>
      <c r="N101" s="437" t="str">
        <f>N98</f>
        <v>美国</v>
      </c>
      <c r="O101" s="437"/>
      <c r="P101" s="437" t="s">
        <v>36</v>
      </c>
      <c r="Q101" s="437"/>
      <c r="R101" s="438" t="s">
        <v>30</v>
      </c>
    </row>
    <row r="102" s="341" customFormat="1" ht="15" customHeight="1" spans="1:18">
      <c r="A102" s="439"/>
      <c r="B102" s="431"/>
      <c r="C102" s="432"/>
      <c r="D102" s="432"/>
      <c r="E102" s="433">
        <f>报关资料录入!E76</f>
        <v>0</v>
      </c>
      <c r="F102" s="433"/>
      <c r="G102" s="433"/>
      <c r="H102" s="434">
        <f>报关资料录入!J84</f>
        <v>0</v>
      </c>
      <c r="I102" s="434"/>
      <c r="J102" s="435">
        <f>报关资料录入!K85</f>
        <v>0</v>
      </c>
      <c r="K102" s="436">
        <f>K101*H101</f>
        <v>0</v>
      </c>
      <c r="L102" s="436"/>
      <c r="M102" s="437"/>
      <c r="N102" s="432"/>
      <c r="O102" s="432"/>
      <c r="P102" s="432"/>
      <c r="Q102" s="432"/>
      <c r="R102" s="438"/>
    </row>
    <row r="103" s="341" customFormat="1" ht="15" customHeight="1" spans="1:18">
      <c r="A103" s="439"/>
      <c r="B103" s="431"/>
      <c r="C103" s="441"/>
      <c r="D103" s="441"/>
      <c r="E103" s="442"/>
      <c r="F103" s="442"/>
      <c r="G103" s="442"/>
      <c r="H103" s="443"/>
      <c r="I103" s="443"/>
      <c r="J103" s="444"/>
      <c r="K103" s="445" t="s">
        <v>95</v>
      </c>
      <c r="L103" s="445"/>
      <c r="M103" s="441"/>
      <c r="N103" s="441"/>
      <c r="O103" s="441"/>
      <c r="P103" s="441"/>
      <c r="Q103" s="441"/>
      <c r="R103" s="446"/>
    </row>
    <row r="104" s="341" customFormat="1" ht="15" customHeight="1" spans="1:18">
      <c r="A104" s="439"/>
      <c r="B104" s="431">
        <f>报关资料录入!B77</f>
        <v>29</v>
      </c>
      <c r="C104" s="432">
        <f>报关资料录入!C77</f>
        <v>0</v>
      </c>
      <c r="D104" s="432"/>
      <c r="E104" s="447">
        <f>报关资料录入!E77</f>
        <v>0</v>
      </c>
      <c r="F104" s="447"/>
      <c r="G104" s="447"/>
      <c r="H104" s="434">
        <f>报关资料录入!J77</f>
        <v>1</v>
      </c>
      <c r="I104" s="434"/>
      <c r="J104" s="447" t="str">
        <f>报关资料录入!K77</f>
        <v>个</v>
      </c>
      <c r="K104" s="449">
        <f>报关资料录入!L77</f>
        <v>0</v>
      </c>
      <c r="L104" s="449"/>
      <c r="M104" s="437" t="s">
        <v>41</v>
      </c>
      <c r="N104" s="437" t="str">
        <f>N101</f>
        <v>美国</v>
      </c>
      <c r="O104" s="437"/>
      <c r="P104" s="437" t="s">
        <v>36</v>
      </c>
      <c r="Q104" s="437"/>
      <c r="R104" s="438" t="s">
        <v>30</v>
      </c>
    </row>
    <row r="105" s="341" customFormat="1" ht="15" customHeight="1" spans="1:18">
      <c r="A105" s="439"/>
      <c r="B105" s="431"/>
      <c r="C105" s="432"/>
      <c r="D105" s="432"/>
      <c r="E105" s="433">
        <f>报关资料录入!E78</f>
        <v>0</v>
      </c>
      <c r="F105" s="433"/>
      <c r="G105" s="433"/>
      <c r="H105" s="458"/>
      <c r="I105" s="458"/>
      <c r="J105" s="435">
        <f>报关资料录入!K88</f>
        <v>0</v>
      </c>
      <c r="K105" s="436">
        <f>K104*H104</f>
        <v>0</v>
      </c>
      <c r="L105" s="436"/>
      <c r="M105" s="437"/>
      <c r="N105" s="432"/>
      <c r="O105" s="432"/>
      <c r="P105" s="432"/>
      <c r="Q105" s="432"/>
      <c r="R105" s="438"/>
    </row>
    <row r="106" s="341" customFormat="1" ht="15" customHeight="1" spans="1:18">
      <c r="A106" s="439"/>
      <c r="B106" s="431"/>
      <c r="C106" s="441"/>
      <c r="D106" s="441"/>
      <c r="E106" s="442"/>
      <c r="F106" s="442"/>
      <c r="G106" s="442"/>
      <c r="H106" s="443"/>
      <c r="I106" s="443"/>
      <c r="J106" s="444"/>
      <c r="K106" s="445" t="s">
        <v>95</v>
      </c>
      <c r="L106" s="445"/>
      <c r="M106" s="441"/>
      <c r="N106" s="441"/>
      <c r="O106" s="441"/>
      <c r="P106" s="441"/>
      <c r="Q106" s="441"/>
      <c r="R106" s="446"/>
    </row>
    <row r="107" s="341" customFormat="1" ht="15" customHeight="1" spans="1:18">
      <c r="A107" s="439"/>
      <c r="B107" s="431">
        <f>报关资料录入!B79</f>
        <v>30</v>
      </c>
      <c r="C107" s="432">
        <f>报关资料录入!C79</f>
        <v>0</v>
      </c>
      <c r="D107" s="432"/>
      <c r="E107" s="447">
        <f>报关资料录入!E79</f>
        <v>0</v>
      </c>
      <c r="F107" s="447"/>
      <c r="G107" s="447"/>
      <c r="H107" s="434">
        <f>报关资料录入!J79</f>
        <v>1</v>
      </c>
      <c r="I107" s="434"/>
      <c r="J107" s="447" t="str">
        <f>报关资料录入!K79</f>
        <v>个</v>
      </c>
      <c r="K107" s="449">
        <f>报关资料录入!L79</f>
        <v>0</v>
      </c>
      <c r="L107" s="449"/>
      <c r="M107" s="437" t="s">
        <v>41</v>
      </c>
      <c r="N107" s="437" t="str">
        <f>N104</f>
        <v>美国</v>
      </c>
      <c r="O107" s="437"/>
      <c r="P107" s="437" t="s">
        <v>36</v>
      </c>
      <c r="Q107" s="437"/>
      <c r="R107" s="438" t="s">
        <v>30</v>
      </c>
    </row>
    <row r="108" s="341" customFormat="1" ht="15" customHeight="1" spans="1:18">
      <c r="A108" s="439"/>
      <c r="B108" s="431"/>
      <c r="C108" s="432"/>
      <c r="D108" s="432"/>
      <c r="E108" s="433">
        <f>报关资料录入!E80</f>
        <v>0</v>
      </c>
      <c r="F108" s="433"/>
      <c r="G108" s="433"/>
      <c r="H108" s="434">
        <f>报关资料录入!J90</f>
        <v>0</v>
      </c>
      <c r="I108" s="434"/>
      <c r="J108" s="435">
        <f>报关资料录入!K91</f>
        <v>0</v>
      </c>
      <c r="K108" s="436">
        <f>K107*H107</f>
        <v>0</v>
      </c>
      <c r="L108" s="436"/>
      <c r="M108" s="437"/>
      <c r="N108" s="432"/>
      <c r="O108" s="432"/>
      <c r="P108" s="432"/>
      <c r="Q108" s="432"/>
      <c r="R108" s="438"/>
    </row>
    <row r="109" s="341" customFormat="1" ht="15" customHeight="1" spans="1:18">
      <c r="A109" s="439"/>
      <c r="B109" s="431"/>
      <c r="C109" s="441"/>
      <c r="D109" s="441"/>
      <c r="E109" s="442"/>
      <c r="F109" s="442"/>
      <c r="G109" s="442"/>
      <c r="H109" s="443"/>
      <c r="I109" s="443"/>
      <c r="J109" s="444"/>
      <c r="K109" s="445" t="s">
        <v>95</v>
      </c>
      <c r="L109" s="445"/>
      <c r="M109" s="441"/>
      <c r="N109" s="441"/>
      <c r="O109" s="441"/>
      <c r="P109" s="441"/>
      <c r="Q109" s="441"/>
      <c r="R109" s="446"/>
    </row>
    <row r="110" ht="24" customHeight="1" spans="1:18">
      <c r="B110" s="459" t="s">
        <v>96</v>
      </c>
      <c r="C110" s="460"/>
      <c r="D110" s="461">
        <f>报关资料录入!D3</f>
        <v>0</v>
      </c>
      <c r="E110" s="462" t="s">
        <v>97</v>
      </c>
      <c r="F110" s="462" t="s">
        <v>98</v>
      </c>
      <c r="G110" s="463">
        <f>报关资料录入!E3</f>
        <v>0</v>
      </c>
      <c r="H110" s="352"/>
      <c r="I110" s="352"/>
      <c r="J110" s="352"/>
      <c r="K110" s="352"/>
      <c r="L110" s="352"/>
      <c r="M110" s="464" t="s">
        <v>99</v>
      </c>
      <c r="N110" s="465" t="s">
        <v>100</v>
      </c>
      <c r="O110" s="466"/>
      <c r="P110" s="466"/>
      <c r="Q110" s="466"/>
      <c r="R110" s="467"/>
    </row>
    <row r="111" ht="24" customHeight="1" spans="1:18">
      <c r="B111" s="468" t="s">
        <v>101</v>
      </c>
      <c r="C111" s="469"/>
      <c r="D111" s="470" t="str">
        <f>IF(报关资料录入!I3&gt;0,"("&amp;报关资料录入!K3&amp;")"&amp;报关资料录入!I3,"")</f>
        <v/>
      </c>
      <c r="E111" s="471"/>
      <c r="F111" s="472"/>
      <c r="G111" s="472"/>
      <c r="H111" s="472"/>
      <c r="I111" s="472"/>
      <c r="J111" s="472"/>
      <c r="K111" s="472"/>
      <c r="L111" s="472"/>
      <c r="M111" s="473" t="s">
        <v>102</v>
      </c>
      <c r="N111" s="468"/>
      <c r="O111" s="469"/>
      <c r="P111" s="469"/>
      <c r="Q111" s="469"/>
      <c r="R111" s="474"/>
    </row>
  </sheetData>
  <sheetProtection selectLockedCells="1"/>
  <mergeCells count="553">
    <mergeCell ref="B2:R2"/>
    <mergeCell ref="H3:K3"/>
    <mergeCell ref="L3:M3"/>
    <mergeCell ref="N3:O3"/>
    <mergeCell ref="P3:Q3"/>
    <mergeCell ref="D4:F4"/>
    <mergeCell ref="H4:I4"/>
    <mergeCell ref="J4:K4"/>
    <mergeCell ref="P4:R4"/>
    <mergeCell ref="B5:F5"/>
    <mergeCell ref="G5:I5"/>
    <mergeCell ref="J5:L5"/>
    <mergeCell ref="M5:N5"/>
    <mergeCell ref="O5:R5"/>
    <mergeCell ref="D6:F6"/>
    <mergeCell ref="H6:I6"/>
    <mergeCell ref="J6:L6"/>
    <mergeCell ref="N6:R6"/>
    <mergeCell ref="B7:F7"/>
    <mergeCell ref="G7:I7"/>
    <mergeCell ref="J7:L7"/>
    <mergeCell ref="M7:R7"/>
    <mergeCell ref="D8:F8"/>
    <mergeCell ref="H8:I8"/>
    <mergeCell ref="J8:K8"/>
    <mergeCell ref="N8:R8"/>
    <mergeCell ref="B9:F9"/>
    <mergeCell ref="G9:I9"/>
    <mergeCell ref="J9:L9"/>
    <mergeCell ref="M9:R9"/>
    <mergeCell ref="D10:F10"/>
    <mergeCell ref="H10:I10"/>
    <mergeCell ref="J10:K10"/>
    <mergeCell ref="P10:R10"/>
    <mergeCell ref="B11:F11"/>
    <mergeCell ref="G11:I11"/>
    <mergeCell ref="J11:L11"/>
    <mergeCell ref="M11:N11"/>
    <mergeCell ref="O11:R11"/>
    <mergeCell ref="D12:F12"/>
    <mergeCell ref="H12:I12"/>
    <mergeCell ref="J12:K12"/>
    <mergeCell ref="B13:F13"/>
    <mergeCell ref="H13:I13"/>
    <mergeCell ref="J13:K13"/>
    <mergeCell ref="M13:N13"/>
    <mergeCell ref="O13:P13"/>
    <mergeCell ref="Q13:R13"/>
    <mergeCell ref="E14:R14"/>
    <mergeCell ref="B15:R15"/>
    <mergeCell ref="B16:D16"/>
    <mergeCell ref="C19:D19"/>
    <mergeCell ref="E19:G19"/>
    <mergeCell ref="H19:J19"/>
    <mergeCell ref="K19:L19"/>
    <mergeCell ref="N19:O19"/>
    <mergeCell ref="P19:Q19"/>
    <mergeCell ref="C20:D20"/>
    <mergeCell ref="E20:G20"/>
    <mergeCell ref="H20:I20"/>
    <mergeCell ref="K20:L20"/>
    <mergeCell ref="N20:O20"/>
    <mergeCell ref="P20:Q20"/>
    <mergeCell ref="C21:D21"/>
    <mergeCell ref="H21:I21"/>
    <mergeCell ref="K21:L21"/>
    <mergeCell ref="N21:O21"/>
    <mergeCell ref="P21:Q21"/>
    <mergeCell ref="C22:D22"/>
    <mergeCell ref="H22:I22"/>
    <mergeCell ref="K22:L22"/>
    <mergeCell ref="N22:O22"/>
    <mergeCell ref="P22:Q22"/>
    <mergeCell ref="C23:D23"/>
    <mergeCell ref="E23:G23"/>
    <mergeCell ref="H23:I23"/>
    <mergeCell ref="K23:L23"/>
    <mergeCell ref="N23:O23"/>
    <mergeCell ref="P23:Q23"/>
    <mergeCell ref="C24:D24"/>
    <mergeCell ref="H24:I24"/>
    <mergeCell ref="K24:L24"/>
    <mergeCell ref="N24:O24"/>
    <mergeCell ref="P24:Q24"/>
    <mergeCell ref="C25:D25"/>
    <mergeCell ref="H25:I25"/>
    <mergeCell ref="K25:L25"/>
    <mergeCell ref="N25:O25"/>
    <mergeCell ref="P25:Q25"/>
    <mergeCell ref="C26:D26"/>
    <mergeCell ref="E26:G26"/>
    <mergeCell ref="H26:I26"/>
    <mergeCell ref="K26:L26"/>
    <mergeCell ref="N26:O26"/>
    <mergeCell ref="P26:Q26"/>
    <mergeCell ref="C27:D27"/>
    <mergeCell ref="H27:I27"/>
    <mergeCell ref="K27:L27"/>
    <mergeCell ref="N27:O27"/>
    <mergeCell ref="P27:Q27"/>
    <mergeCell ref="C28:D28"/>
    <mergeCell ref="H28:I28"/>
    <mergeCell ref="K28:L28"/>
    <mergeCell ref="N28:O28"/>
    <mergeCell ref="P28:Q28"/>
    <mergeCell ref="C29:D29"/>
    <mergeCell ref="E29:G29"/>
    <mergeCell ref="H29:I29"/>
    <mergeCell ref="K29:L29"/>
    <mergeCell ref="N29:O29"/>
    <mergeCell ref="P29:Q29"/>
    <mergeCell ref="K30:L30"/>
    <mergeCell ref="N30:O30"/>
    <mergeCell ref="K31:L31"/>
    <mergeCell ref="N31:O31"/>
    <mergeCell ref="C32:D32"/>
    <mergeCell ref="E32:G32"/>
    <mergeCell ref="H32:I32"/>
    <mergeCell ref="K32:L32"/>
    <mergeCell ref="N32:O32"/>
    <mergeCell ref="P32:Q32"/>
    <mergeCell ref="C33:D33"/>
    <mergeCell ref="H33:I33"/>
    <mergeCell ref="K33:L33"/>
    <mergeCell ref="N33:O33"/>
    <mergeCell ref="P33:Q33"/>
    <mergeCell ref="C34:D34"/>
    <mergeCell ref="H34:I34"/>
    <mergeCell ref="K34:L34"/>
    <mergeCell ref="N34:O34"/>
    <mergeCell ref="P34:Q34"/>
    <mergeCell ref="C35:D35"/>
    <mergeCell ref="E35:G35"/>
    <mergeCell ref="H35:I35"/>
    <mergeCell ref="K35:L35"/>
    <mergeCell ref="N35:O35"/>
    <mergeCell ref="P35:Q35"/>
    <mergeCell ref="C36:D36"/>
    <mergeCell ref="H36:I36"/>
    <mergeCell ref="K36:L36"/>
    <mergeCell ref="N36:O36"/>
    <mergeCell ref="P36:Q36"/>
    <mergeCell ref="C37:D37"/>
    <mergeCell ref="H37:I37"/>
    <mergeCell ref="K37:L37"/>
    <mergeCell ref="N37:O37"/>
    <mergeCell ref="P37:Q37"/>
    <mergeCell ref="C38:D38"/>
    <mergeCell ref="E38:G38"/>
    <mergeCell ref="H38:I38"/>
    <mergeCell ref="K38:L38"/>
    <mergeCell ref="N38:O38"/>
    <mergeCell ref="P38:Q38"/>
    <mergeCell ref="C39:D39"/>
    <mergeCell ref="H39:I39"/>
    <mergeCell ref="K39:L39"/>
    <mergeCell ref="N39:O39"/>
    <mergeCell ref="C40:D40"/>
    <mergeCell ref="H40:I40"/>
    <mergeCell ref="K40:L40"/>
    <mergeCell ref="N40:O40"/>
    <mergeCell ref="C41:D41"/>
    <mergeCell ref="E41:G41"/>
    <mergeCell ref="H41:I41"/>
    <mergeCell ref="K41:L41"/>
    <mergeCell ref="N41:O41"/>
    <mergeCell ref="P41:Q41"/>
    <mergeCell ref="C42:D42"/>
    <mergeCell ref="H42:I42"/>
    <mergeCell ref="K42:L42"/>
    <mergeCell ref="N42:O42"/>
    <mergeCell ref="P42:Q42"/>
    <mergeCell ref="C43:D43"/>
    <mergeCell ref="H43:I43"/>
    <mergeCell ref="K43:L43"/>
    <mergeCell ref="N43:O43"/>
    <mergeCell ref="P43:Q43"/>
    <mergeCell ref="C44:D44"/>
    <mergeCell ref="E44:G44"/>
    <mergeCell ref="H44:I44"/>
    <mergeCell ref="K44:L44"/>
    <mergeCell ref="N44:O44"/>
    <mergeCell ref="P44:Q44"/>
    <mergeCell ref="C45:D45"/>
    <mergeCell ref="H45:I45"/>
    <mergeCell ref="K45:L45"/>
    <mergeCell ref="N45:O45"/>
    <mergeCell ref="P45:Q45"/>
    <mergeCell ref="C46:D46"/>
    <mergeCell ref="H46:I46"/>
    <mergeCell ref="K46:L46"/>
    <mergeCell ref="N46:O46"/>
    <mergeCell ref="P46:Q46"/>
    <mergeCell ref="C47:D47"/>
    <mergeCell ref="E47:G47"/>
    <mergeCell ref="H47:I47"/>
    <mergeCell ref="K47:L47"/>
    <mergeCell ref="N47:O47"/>
    <mergeCell ref="P47:Q47"/>
    <mergeCell ref="K48:L48"/>
    <mergeCell ref="N48:O48"/>
    <mergeCell ref="K49:L49"/>
    <mergeCell ref="N49:O49"/>
    <mergeCell ref="C50:D50"/>
    <mergeCell ref="E50:G50"/>
    <mergeCell ref="H50:I50"/>
    <mergeCell ref="K50:L50"/>
    <mergeCell ref="N50:O50"/>
    <mergeCell ref="P50:Q50"/>
    <mergeCell ref="C51:D51"/>
    <mergeCell ref="H51:I51"/>
    <mergeCell ref="K51:L51"/>
    <mergeCell ref="N51:O51"/>
    <mergeCell ref="P51:Q51"/>
    <mergeCell ref="C52:D52"/>
    <mergeCell ref="H52:I52"/>
    <mergeCell ref="K52:L52"/>
    <mergeCell ref="N52:O52"/>
    <mergeCell ref="P52:Q52"/>
    <mergeCell ref="C53:D53"/>
    <mergeCell ref="E53:G53"/>
    <mergeCell ref="H53:I53"/>
    <mergeCell ref="K53:L53"/>
    <mergeCell ref="N53:O53"/>
    <mergeCell ref="P53:Q53"/>
    <mergeCell ref="C54:D54"/>
    <mergeCell ref="H54:I54"/>
    <mergeCell ref="K54:L54"/>
    <mergeCell ref="N54:O54"/>
    <mergeCell ref="P54:Q54"/>
    <mergeCell ref="C55:D55"/>
    <mergeCell ref="H55:I55"/>
    <mergeCell ref="K55:L55"/>
    <mergeCell ref="N55:O55"/>
    <mergeCell ref="P55:Q55"/>
    <mergeCell ref="C56:D56"/>
    <mergeCell ref="E56:G56"/>
    <mergeCell ref="H56:I56"/>
    <mergeCell ref="K56:L56"/>
    <mergeCell ref="N56:O56"/>
    <mergeCell ref="P56:Q56"/>
    <mergeCell ref="C57:D57"/>
    <mergeCell ref="H57:I57"/>
    <mergeCell ref="K57:L57"/>
    <mergeCell ref="N57:O57"/>
    <mergeCell ref="P57:Q57"/>
    <mergeCell ref="C58:D58"/>
    <mergeCell ref="H58:I58"/>
    <mergeCell ref="K58:L58"/>
    <mergeCell ref="N58:O58"/>
    <mergeCell ref="P58:Q58"/>
    <mergeCell ref="C59:D59"/>
    <mergeCell ref="E59:G59"/>
    <mergeCell ref="H59:I59"/>
    <mergeCell ref="K59:L59"/>
    <mergeCell ref="N59:O59"/>
    <mergeCell ref="P59:Q59"/>
    <mergeCell ref="C60:D60"/>
    <mergeCell ref="H60:I60"/>
    <mergeCell ref="K60:L60"/>
    <mergeCell ref="N60:O60"/>
    <mergeCell ref="P60:Q60"/>
    <mergeCell ref="C61:D61"/>
    <mergeCell ref="H61:I61"/>
    <mergeCell ref="K61:L61"/>
    <mergeCell ref="N61:O61"/>
    <mergeCell ref="P61:Q61"/>
    <mergeCell ref="C62:D62"/>
    <mergeCell ref="E62:G62"/>
    <mergeCell ref="H62:I62"/>
    <mergeCell ref="K62:L62"/>
    <mergeCell ref="N62:O62"/>
    <mergeCell ref="P62:Q62"/>
    <mergeCell ref="C63:D63"/>
    <mergeCell ref="K63:L63"/>
    <mergeCell ref="N63:O63"/>
    <mergeCell ref="P63:Q63"/>
    <mergeCell ref="C64:D64"/>
    <mergeCell ref="H64:I64"/>
    <mergeCell ref="K64:L64"/>
    <mergeCell ref="N64:O64"/>
    <mergeCell ref="P64:Q64"/>
    <mergeCell ref="C65:D65"/>
    <mergeCell ref="E65:G65"/>
    <mergeCell ref="H65:I65"/>
    <mergeCell ref="K65:L65"/>
    <mergeCell ref="N65:O65"/>
    <mergeCell ref="P65:Q65"/>
    <mergeCell ref="C66:D66"/>
    <mergeCell ref="H66:I66"/>
    <mergeCell ref="K66:L66"/>
    <mergeCell ref="N66:O66"/>
    <mergeCell ref="P66:Q66"/>
    <mergeCell ref="C67:D67"/>
    <mergeCell ref="H67:I67"/>
    <mergeCell ref="K67:L67"/>
    <mergeCell ref="N67:O67"/>
    <mergeCell ref="P67:Q67"/>
    <mergeCell ref="C68:D68"/>
    <mergeCell ref="E68:G68"/>
    <mergeCell ref="H68:I68"/>
    <mergeCell ref="K68:L68"/>
    <mergeCell ref="N68:O68"/>
    <mergeCell ref="P68:Q68"/>
    <mergeCell ref="C69:D69"/>
    <mergeCell ref="K69:L69"/>
    <mergeCell ref="N69:O69"/>
    <mergeCell ref="P69:Q69"/>
    <mergeCell ref="C70:D70"/>
    <mergeCell ref="H70:I70"/>
    <mergeCell ref="K70:L70"/>
    <mergeCell ref="N70:O70"/>
    <mergeCell ref="P70:Q70"/>
    <mergeCell ref="C71:D71"/>
    <mergeCell ref="E71:G71"/>
    <mergeCell ref="H71:I71"/>
    <mergeCell ref="K71:L71"/>
    <mergeCell ref="N71:O71"/>
    <mergeCell ref="P71:Q71"/>
    <mergeCell ref="C72:D72"/>
    <mergeCell ref="H72:I72"/>
    <mergeCell ref="K72:L72"/>
    <mergeCell ref="N72:O72"/>
    <mergeCell ref="P72:Q72"/>
    <mergeCell ref="C73:D73"/>
    <mergeCell ref="H73:I73"/>
    <mergeCell ref="K73:L73"/>
    <mergeCell ref="N73:O73"/>
    <mergeCell ref="P73:Q73"/>
    <mergeCell ref="C74:D74"/>
    <mergeCell ref="E74:G74"/>
    <mergeCell ref="H74:I74"/>
    <mergeCell ref="K74:L74"/>
    <mergeCell ref="N74:O74"/>
    <mergeCell ref="P74:Q74"/>
    <mergeCell ref="C75:D75"/>
    <mergeCell ref="K75:L75"/>
    <mergeCell ref="N75:O75"/>
    <mergeCell ref="P75:Q75"/>
    <mergeCell ref="C76:D76"/>
    <mergeCell ref="H76:I76"/>
    <mergeCell ref="K76:L76"/>
    <mergeCell ref="N76:O76"/>
    <mergeCell ref="P76:Q76"/>
    <mergeCell ref="C77:D77"/>
    <mergeCell ref="E77:G77"/>
    <mergeCell ref="H77:I77"/>
    <mergeCell ref="K77:L77"/>
    <mergeCell ref="N77:O77"/>
    <mergeCell ref="P77:Q77"/>
    <mergeCell ref="C78:D78"/>
    <mergeCell ref="H78:I78"/>
    <mergeCell ref="K78:L78"/>
    <mergeCell ref="N78:O78"/>
    <mergeCell ref="P78:Q78"/>
    <mergeCell ref="C79:D79"/>
    <mergeCell ref="H79:I79"/>
    <mergeCell ref="K79:L79"/>
    <mergeCell ref="N79:O79"/>
    <mergeCell ref="P79:Q79"/>
    <mergeCell ref="C80:D80"/>
    <mergeCell ref="E80:G80"/>
    <mergeCell ref="H80:I80"/>
    <mergeCell ref="K80:L80"/>
    <mergeCell ref="N80:O80"/>
    <mergeCell ref="P80:Q80"/>
    <mergeCell ref="C81:D81"/>
    <mergeCell ref="K81:L81"/>
    <mergeCell ref="N81:O81"/>
    <mergeCell ref="P81:Q81"/>
    <mergeCell ref="C82:D82"/>
    <mergeCell ref="H82:I82"/>
    <mergeCell ref="K82:L82"/>
    <mergeCell ref="N82:O82"/>
    <mergeCell ref="P82:Q82"/>
    <mergeCell ref="C83:D83"/>
    <mergeCell ref="E83:G83"/>
    <mergeCell ref="H83:I83"/>
    <mergeCell ref="K83:L83"/>
    <mergeCell ref="N83:O83"/>
    <mergeCell ref="P83:Q83"/>
    <mergeCell ref="C84:D84"/>
    <mergeCell ref="H84:I84"/>
    <mergeCell ref="K84:L84"/>
    <mergeCell ref="N84:O84"/>
    <mergeCell ref="P84:Q84"/>
    <mergeCell ref="C85:D85"/>
    <mergeCell ref="H85:I85"/>
    <mergeCell ref="K85:L85"/>
    <mergeCell ref="N85:O85"/>
    <mergeCell ref="P85:Q85"/>
    <mergeCell ref="C86:D86"/>
    <mergeCell ref="E86:G86"/>
    <mergeCell ref="H86:I86"/>
    <mergeCell ref="K86:L86"/>
    <mergeCell ref="N86:O86"/>
    <mergeCell ref="P86:Q86"/>
    <mergeCell ref="C87:D87"/>
    <mergeCell ref="K87:L87"/>
    <mergeCell ref="N87:O87"/>
    <mergeCell ref="P87:Q87"/>
    <mergeCell ref="C88:D88"/>
    <mergeCell ref="H88:I88"/>
    <mergeCell ref="K88:L88"/>
    <mergeCell ref="N88:O88"/>
    <mergeCell ref="P88:Q88"/>
    <mergeCell ref="C89:D89"/>
    <mergeCell ref="E89:G89"/>
    <mergeCell ref="H89:I89"/>
    <mergeCell ref="K89:L89"/>
    <mergeCell ref="N89:O89"/>
    <mergeCell ref="P89:Q89"/>
    <mergeCell ref="C90:D90"/>
    <mergeCell ref="H90:I90"/>
    <mergeCell ref="K90:L90"/>
    <mergeCell ref="N90:O90"/>
    <mergeCell ref="P90:Q90"/>
    <mergeCell ref="C91:D91"/>
    <mergeCell ref="H91:I91"/>
    <mergeCell ref="K91:L91"/>
    <mergeCell ref="N91:O91"/>
    <mergeCell ref="P91:Q91"/>
    <mergeCell ref="C92:D92"/>
    <mergeCell ref="E92:G92"/>
    <mergeCell ref="H92:I92"/>
    <mergeCell ref="K92:L92"/>
    <mergeCell ref="N92:O92"/>
    <mergeCell ref="P92:Q92"/>
    <mergeCell ref="C93:D93"/>
    <mergeCell ref="K93:L93"/>
    <mergeCell ref="N93:O93"/>
    <mergeCell ref="P93:Q93"/>
    <mergeCell ref="C94:D94"/>
    <mergeCell ref="H94:I94"/>
    <mergeCell ref="K94:L94"/>
    <mergeCell ref="N94:O94"/>
    <mergeCell ref="P94:Q94"/>
    <mergeCell ref="C95:D95"/>
    <mergeCell ref="E95:G95"/>
    <mergeCell ref="H95:I95"/>
    <mergeCell ref="K95:L95"/>
    <mergeCell ref="N95:O95"/>
    <mergeCell ref="P95:Q95"/>
    <mergeCell ref="C96:D96"/>
    <mergeCell ref="H96:I96"/>
    <mergeCell ref="K96:L96"/>
    <mergeCell ref="N96:O96"/>
    <mergeCell ref="P96:Q96"/>
    <mergeCell ref="C97:D97"/>
    <mergeCell ref="H97:I97"/>
    <mergeCell ref="K97:L97"/>
    <mergeCell ref="N97:O97"/>
    <mergeCell ref="P97:Q97"/>
    <mergeCell ref="C98:D98"/>
    <mergeCell ref="E98:G98"/>
    <mergeCell ref="H98:I98"/>
    <mergeCell ref="K98:L98"/>
    <mergeCell ref="N98:O98"/>
    <mergeCell ref="P98:Q98"/>
    <mergeCell ref="C99:D99"/>
    <mergeCell ref="K99:L99"/>
    <mergeCell ref="N99:O99"/>
    <mergeCell ref="P99:Q99"/>
    <mergeCell ref="C100:D100"/>
    <mergeCell ref="H100:I100"/>
    <mergeCell ref="K100:L100"/>
    <mergeCell ref="N100:O100"/>
    <mergeCell ref="P100:Q100"/>
    <mergeCell ref="C101:D101"/>
    <mergeCell ref="E101:G101"/>
    <mergeCell ref="H101:I101"/>
    <mergeCell ref="K101:L101"/>
    <mergeCell ref="N101:O101"/>
    <mergeCell ref="P101:Q101"/>
    <mergeCell ref="C102:D102"/>
    <mergeCell ref="H102:I102"/>
    <mergeCell ref="K102:L102"/>
    <mergeCell ref="N102:O102"/>
    <mergeCell ref="P102:Q102"/>
    <mergeCell ref="C103:D103"/>
    <mergeCell ref="H103:I103"/>
    <mergeCell ref="K103:L103"/>
    <mergeCell ref="N103:O103"/>
    <mergeCell ref="P103:Q103"/>
    <mergeCell ref="C104:D104"/>
    <mergeCell ref="E104:G104"/>
    <mergeCell ref="H104:I104"/>
    <mergeCell ref="K104:L104"/>
    <mergeCell ref="N104:O104"/>
    <mergeCell ref="P104:Q104"/>
    <mergeCell ref="C105:D105"/>
    <mergeCell ref="K105:L105"/>
    <mergeCell ref="N105:O105"/>
    <mergeCell ref="P105:Q105"/>
    <mergeCell ref="C106:D106"/>
    <mergeCell ref="H106:I106"/>
    <mergeCell ref="K106:L106"/>
    <mergeCell ref="N106:O106"/>
    <mergeCell ref="P106:Q106"/>
    <mergeCell ref="C107:D107"/>
    <mergeCell ref="E107:G107"/>
    <mergeCell ref="H107:I107"/>
    <mergeCell ref="K107:L107"/>
    <mergeCell ref="N107:O107"/>
    <mergeCell ref="P107:Q107"/>
    <mergeCell ref="C108:D108"/>
    <mergeCell ref="H108:I108"/>
    <mergeCell ref="K108:L108"/>
    <mergeCell ref="N108:O108"/>
    <mergeCell ref="P108:Q108"/>
    <mergeCell ref="C109:D109"/>
    <mergeCell ref="H109:I109"/>
    <mergeCell ref="K109:L109"/>
    <mergeCell ref="N109:O109"/>
    <mergeCell ref="P109:Q109"/>
    <mergeCell ref="B110:C110"/>
    <mergeCell ref="N110:R110"/>
    <mergeCell ref="B111:C111"/>
    <mergeCell ref="N111:R111"/>
    <mergeCell ref="F17:F18"/>
    <mergeCell ref="C17:E18"/>
    <mergeCell ref="E21:G22"/>
    <mergeCell ref="E24:G25"/>
    <mergeCell ref="E33:G34"/>
    <mergeCell ref="E36:G37"/>
    <mergeCell ref="G17:L18"/>
    <mergeCell ref="M17:R18"/>
    <mergeCell ref="E30:G31"/>
    <mergeCell ref="E39:G40"/>
    <mergeCell ref="E27:G28"/>
    <mergeCell ref="E42:G43"/>
    <mergeCell ref="E45:G46"/>
    <mergeCell ref="E57:G58"/>
    <mergeCell ref="E48:G49"/>
    <mergeCell ref="E51:G52"/>
    <mergeCell ref="E54:G55"/>
    <mergeCell ref="E60:G61"/>
    <mergeCell ref="E87:G88"/>
    <mergeCell ref="E63:G64"/>
    <mergeCell ref="E66:G67"/>
    <mergeCell ref="E69:G70"/>
    <mergeCell ref="E72:G73"/>
    <mergeCell ref="E75:G76"/>
    <mergeCell ref="E78:G79"/>
    <mergeCell ref="E81:G82"/>
    <mergeCell ref="E84:G85"/>
    <mergeCell ref="E90:G91"/>
    <mergeCell ref="E93:G94"/>
    <mergeCell ref="E96:G97"/>
    <mergeCell ref="E99:G100"/>
    <mergeCell ref="E102:G103"/>
    <mergeCell ref="E105:G106"/>
    <mergeCell ref="E108:G109"/>
  </mergeCells>
  <pageMargins left="0.75" right="0.75" top="1" bottom="1" header="0.5" footer="0.5"/>
  <pageSetup paperSize="9" scale="34" orientation="portrait" horizontalDpi="600" verticalDpi="180"/>
  <headerFooter alignWithMargins="0" scaleWithDoc="0"/>
  <rowBreaks count="1" manualBreakCount="1">
    <brk id="111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47"/>
    <pageSetUpPr autoPageBreaks="0"/>
  </sheetPr>
  <dimension ref="B1:I85"/>
  <sheetViews>
    <sheetView showGridLines="0" showZeros="0" view="pageBreakPreview" zoomScale="85" zoomScaleNormal="100" topLeftCell="A8" workbookViewId="0">
      <selection activeCell="K23" sqref="K23"/>
    </sheetView>
  </sheetViews>
  <sheetFormatPr defaultColWidth="9" defaultRowHeight="16.5"/>
  <cols>
    <col min="1" max="1" width="6.75833333333333" style="120" customWidth="1"/>
    <col min="2" max="2" width="7.08333333333333" style="121" customWidth="1"/>
    <col min="3" max="3" width="7.33333333333333" style="121" customWidth="1"/>
    <col min="4" max="4" width="22.0833333333333" style="121" customWidth="1"/>
    <col min="5" max="5" width="12.2083333333333" style="121" customWidth="1"/>
    <col min="6" max="6" width="8.58333333333333" style="121" customWidth="1"/>
    <col min="7" max="7" width="5.88333333333333" style="121" customWidth="1"/>
    <col min="8" max="8" width="16.9083333333333" style="121" customWidth="1"/>
    <col min="9" max="9" width="25.875" style="121" customWidth="1"/>
    <col min="10" max="16384" width="9" style="120"/>
  </cols>
  <sheetData>
    <row r="1" ht="8" customHeight="1"/>
    <row r="2" ht="30" customHeight="1" spans="2:9">
      <c r="B2" s="222" t="str">
        <f>报关资料录入!E4</f>
        <v>深圳市沐星科技有限公司</v>
      </c>
      <c r="C2" s="222"/>
      <c r="D2" s="222"/>
      <c r="E2" s="222"/>
      <c r="F2" s="222"/>
      <c r="G2" s="222"/>
      <c r="H2" s="222"/>
      <c r="I2" s="222"/>
    </row>
    <row r="3" ht="16" customHeight="1" spans="2:9">
      <c r="B3" s="223" t="str">
        <f>"地址:"&amp;报关资料录入!E7</f>
        <v>地址:深圳市龙岗区龙城街道黄阁坑社区吉祥里豪庭9栋铭德大厦A、B栋A座1010</v>
      </c>
      <c r="C3" s="223"/>
      <c r="D3" s="223"/>
      <c r="E3" s="223"/>
      <c r="F3" s="223"/>
      <c r="G3" s="223"/>
      <c r="H3" s="223"/>
      <c r="I3" s="223"/>
    </row>
    <row r="4" ht="15" customHeight="1" spans="2:9">
      <c r="B4" s="123"/>
      <c r="C4" s="123"/>
      <c r="D4" s="123"/>
      <c r="E4" s="123"/>
      <c r="F4" s="123"/>
      <c r="G4" s="123"/>
      <c r="H4" s="123"/>
      <c r="I4" s="123"/>
    </row>
    <row r="5" ht="20" spans="2:9">
      <c r="B5" s="224" t="s">
        <v>103</v>
      </c>
      <c r="C5" s="224"/>
      <c r="D5" s="224"/>
      <c r="E5" s="224"/>
      <c r="F5" s="224"/>
      <c r="G5" s="224"/>
      <c r="H5" s="224"/>
      <c r="I5" s="224"/>
    </row>
    <row r="6" ht="19" spans="2:9">
      <c r="B6" s="125" t="s">
        <v>104</v>
      </c>
      <c r="C6" s="125"/>
      <c r="D6" s="125"/>
      <c r="E6" s="125"/>
      <c r="F6" s="125"/>
      <c r="G6" s="125"/>
      <c r="H6" s="125"/>
      <c r="I6" s="125"/>
    </row>
    <row r="7" ht="36" customHeight="1" spans="2:9">
      <c r="B7" s="142" t="s">
        <v>105</v>
      </c>
      <c r="C7" s="142"/>
      <c r="D7" s="225" t="str">
        <f>报关资料录入!H4</f>
        <v>HONG KONG HENGSHUO INTELLIGENT TECHNOLOGY CO., LIMITED</v>
      </c>
      <c r="E7" s="225"/>
      <c r="F7" s="225"/>
      <c r="G7" s="227" t="s">
        <v>106</v>
      </c>
      <c r="H7" s="227"/>
      <c r="I7" s="274">
        <f>报关资料录入!K10</f>
        <v>46093</v>
      </c>
    </row>
    <row r="8" ht="19" customHeight="1" spans="2:9">
      <c r="B8" s="142" t="s">
        <v>107</v>
      </c>
      <c r="C8" s="142"/>
      <c r="D8" s="139" t="str">
        <f>报关资料录入!H5</f>
        <v>WORKSHOP 60, 3/F, BLOCK A, EAST SUN INDUSTRIAL CENTRE NO.16, SHING YIP STREET KL</v>
      </c>
      <c r="E8" s="139"/>
      <c r="F8" s="139"/>
      <c r="G8" s="230" t="s">
        <v>108</v>
      </c>
      <c r="H8" s="230"/>
      <c r="I8" s="275" t="str">
        <f>报关资料录入!K9</f>
        <v>HS-US-20260312</v>
      </c>
    </row>
    <row r="9" ht="32" customHeight="1" spans="2:9">
      <c r="B9" s="142"/>
      <c r="C9" s="142"/>
      <c r="D9" s="140"/>
      <c r="E9" s="140"/>
      <c r="F9" s="140"/>
      <c r="G9" s="230"/>
      <c r="H9" s="230"/>
      <c r="I9" s="274"/>
    </row>
    <row r="10" ht="28" customHeight="1" spans="2:9">
      <c r="B10" s="226" t="s">
        <v>109</v>
      </c>
      <c r="C10" s="226"/>
      <c r="D10" s="127" t="str">
        <f>"由 "&amp;报关资料录入!K11&amp;" 至 "&amp;报关资料录入!E11</f>
        <v>由 深圳 至 美国</v>
      </c>
      <c r="E10" s="127"/>
      <c r="F10" s="276"/>
      <c r="G10" s="277" t="s">
        <v>110</v>
      </c>
      <c r="H10" s="277"/>
      <c r="I10" s="278" t="str">
        <f>报关资料录入!K14</f>
        <v>FOB</v>
      </c>
    </row>
    <row r="11" s="119" customFormat="1" ht="20" customHeight="1" spans="2:9">
      <c r="B11" s="147" t="s">
        <v>111</v>
      </c>
      <c r="C11" s="148"/>
      <c r="D11" s="149"/>
      <c r="E11" s="150"/>
      <c r="F11" s="151"/>
      <c r="G11" s="151"/>
      <c r="H11" s="152" t="s">
        <v>112</v>
      </c>
      <c r="I11" s="279"/>
    </row>
    <row r="12" ht="5" customHeight="1" spans="2:9">
      <c r="B12" s="147"/>
      <c r="C12" s="148"/>
      <c r="D12" s="154"/>
      <c r="E12" s="155"/>
      <c r="F12" s="156"/>
      <c r="G12" s="156"/>
      <c r="H12" s="157"/>
      <c r="I12" s="280"/>
    </row>
    <row r="13" ht="15" spans="2:9">
      <c r="B13" s="160" t="s">
        <v>113</v>
      </c>
      <c r="C13" s="164" t="s">
        <v>114</v>
      </c>
      <c r="D13" s="164"/>
      <c r="E13" s="164" t="s">
        <v>115</v>
      </c>
      <c r="F13" s="164" t="s">
        <v>116</v>
      </c>
      <c r="G13" s="164"/>
      <c r="H13" s="164" t="s">
        <v>117</v>
      </c>
      <c r="I13" s="281" t="s">
        <v>118</v>
      </c>
    </row>
    <row r="14" ht="15.75" spans="2:9">
      <c r="B14" s="282"/>
      <c r="C14" s="283"/>
      <c r="D14" s="283"/>
      <c r="E14" s="283"/>
      <c r="F14" s="283"/>
      <c r="G14" s="283"/>
      <c r="H14" s="283"/>
      <c r="I14" s="284"/>
    </row>
    <row r="15" ht="17.5" customHeight="1" spans="2:9">
      <c r="B15" s="285">
        <f>报关资料录入!B21</f>
        <v>1</v>
      </c>
      <c r="C15" s="286">
        <f>报关资料录入!E21</f>
        <v>0</v>
      </c>
      <c r="D15" s="287"/>
      <c r="E15" s="288">
        <f>报关资料录入!G21</f>
        <v>1</v>
      </c>
      <c r="F15" s="289">
        <f>报关资料录入!J21</f>
        <v>1</v>
      </c>
      <c r="G15" s="290" t="str">
        <f>报关资料录入!K21</f>
        <v>个</v>
      </c>
      <c r="H15" s="291">
        <f>报关资料录入!H21</f>
        <v>1</v>
      </c>
      <c r="I15" s="292">
        <f>报关资料录入!I21</f>
        <v>0</v>
      </c>
    </row>
    <row r="16" ht="17.5" customHeight="1" spans="2:9">
      <c r="B16" s="293"/>
      <c r="C16" s="294"/>
      <c r="D16" s="295"/>
      <c r="E16" s="296"/>
      <c r="F16" s="297">
        <f>报关资料录入!J22</f>
        <v>0</v>
      </c>
      <c r="G16" s="298">
        <f>报关资料录入!K22</f>
        <v>0</v>
      </c>
      <c r="H16" s="299"/>
      <c r="I16" s="300"/>
    </row>
    <row r="17" ht="17.5" customHeight="1" spans="2:9">
      <c r="B17" s="285">
        <f>报关资料录入!B23</f>
        <v>2</v>
      </c>
      <c r="C17" s="286">
        <f>报关资料录入!E23</f>
        <v>0</v>
      </c>
      <c r="D17" s="287"/>
      <c r="E17" s="288">
        <f>报关资料录入!G23</f>
        <v>1</v>
      </c>
      <c r="F17" s="289">
        <f>报关资料录入!J23</f>
        <v>1</v>
      </c>
      <c r="G17" s="290" t="str">
        <f>报关资料录入!K23</f>
        <v>个</v>
      </c>
      <c r="H17" s="291">
        <f>报关资料录入!H23</f>
        <v>1</v>
      </c>
      <c r="I17" s="292">
        <f>报关资料录入!I23</f>
        <v>0</v>
      </c>
    </row>
    <row r="18" ht="17.5" customHeight="1" spans="2:9">
      <c r="B18" s="293"/>
      <c r="C18" s="294"/>
      <c r="D18" s="295"/>
      <c r="E18" s="296"/>
      <c r="F18" s="289">
        <f>报关资料录入!J24</f>
        <v>0</v>
      </c>
      <c r="G18" s="290">
        <f>报关资料录入!K24</f>
        <v>0</v>
      </c>
      <c r="H18" s="299"/>
      <c r="I18" s="300"/>
    </row>
    <row r="19" ht="17.5" customHeight="1" spans="2:9">
      <c r="B19" s="285">
        <f>报关资料录入!B25</f>
        <v>3</v>
      </c>
      <c r="C19" s="286">
        <f>报关资料录入!E25</f>
        <v>0</v>
      </c>
      <c r="D19" s="287"/>
      <c r="E19" s="288">
        <f>报关资料录入!G25</f>
        <v>1</v>
      </c>
      <c r="F19" s="301">
        <f>报关资料录入!J25</f>
        <v>1</v>
      </c>
      <c r="G19" s="302" t="str">
        <f>报关资料录入!K25</f>
        <v>个</v>
      </c>
      <c r="H19" s="291">
        <f>报关资料录入!H25</f>
        <v>1</v>
      </c>
      <c r="I19" s="292">
        <f>报关资料录入!I25</f>
        <v>0</v>
      </c>
    </row>
    <row r="20" ht="17.5" customHeight="1" spans="2:9">
      <c r="B20" s="293"/>
      <c r="C20" s="294"/>
      <c r="D20" s="295"/>
      <c r="E20" s="296"/>
      <c r="F20" s="289">
        <f>报关资料录入!J26</f>
        <v>0</v>
      </c>
      <c r="G20" s="290">
        <f>报关资料录入!K26</f>
        <v>0</v>
      </c>
      <c r="H20" s="299"/>
      <c r="I20" s="300"/>
    </row>
    <row r="21" ht="17.5" customHeight="1" spans="2:9">
      <c r="B21" s="285">
        <f>报关资料录入!B27</f>
        <v>4</v>
      </c>
      <c r="C21" s="286">
        <f>报关资料录入!E27</f>
        <v>0</v>
      </c>
      <c r="D21" s="287"/>
      <c r="E21" s="288">
        <f>报关资料录入!G27</f>
        <v>1</v>
      </c>
      <c r="F21" s="301">
        <f>报关资料录入!J27</f>
        <v>1</v>
      </c>
      <c r="G21" s="302" t="str">
        <f>报关资料录入!K27</f>
        <v>个</v>
      </c>
      <c r="H21" s="291">
        <f>报关资料录入!H27</f>
        <v>1</v>
      </c>
      <c r="I21" s="292">
        <f>报关资料录入!I27</f>
        <v>0</v>
      </c>
    </row>
    <row r="22" ht="17.5" customHeight="1" spans="2:9">
      <c r="B22" s="293"/>
      <c r="C22" s="294"/>
      <c r="D22" s="295"/>
      <c r="E22" s="296"/>
      <c r="F22" s="297">
        <f>报关资料录入!J28</f>
        <v>0</v>
      </c>
      <c r="G22" s="298">
        <f>报关资料录入!K28</f>
        <v>0</v>
      </c>
      <c r="H22" s="299"/>
      <c r="I22" s="300"/>
    </row>
    <row r="23" ht="17.5" customHeight="1" spans="2:9">
      <c r="B23" s="285">
        <f>报关资料录入!B29</f>
        <v>5</v>
      </c>
      <c r="C23" s="286">
        <f>报关资料录入!E29</f>
        <v>0</v>
      </c>
      <c r="D23" s="287"/>
      <c r="E23" s="288">
        <f>报关资料录入!G29</f>
        <v>1</v>
      </c>
      <c r="F23" s="289">
        <f>报关资料录入!J29</f>
        <v>1</v>
      </c>
      <c r="G23" s="290" t="str">
        <f>报关资料录入!K29</f>
        <v>个</v>
      </c>
      <c r="H23" s="291">
        <f>报关资料录入!H29</f>
        <v>1</v>
      </c>
      <c r="I23" s="292">
        <f>报关资料录入!I29</f>
        <v>0</v>
      </c>
    </row>
    <row r="24" ht="17.5" customHeight="1" spans="2:9">
      <c r="B24" s="293"/>
      <c r="C24" s="294"/>
      <c r="D24" s="295"/>
      <c r="E24" s="296"/>
      <c r="F24" s="289">
        <f>报关资料录入!J30</f>
        <v>0</v>
      </c>
      <c r="G24" s="290">
        <f>报关资料录入!K30</f>
        <v>0</v>
      </c>
      <c r="H24" s="299"/>
      <c r="I24" s="300"/>
    </row>
    <row r="25" ht="17.5" customHeight="1" spans="2:9">
      <c r="B25" s="285">
        <f>报关资料录入!B31</f>
        <v>6</v>
      </c>
      <c r="C25" s="286">
        <f>报关资料录入!E31</f>
        <v>0</v>
      </c>
      <c r="D25" s="287"/>
      <c r="E25" s="288">
        <f>报关资料录入!G31</f>
        <v>1</v>
      </c>
      <c r="F25" s="301">
        <f>报关资料录入!J31</f>
        <v>1</v>
      </c>
      <c r="G25" s="302" t="str">
        <f>报关资料录入!K31</f>
        <v>个</v>
      </c>
      <c r="H25" s="291">
        <f>报关资料录入!H31</f>
        <v>1</v>
      </c>
      <c r="I25" s="292">
        <f>报关资料录入!I31</f>
        <v>0</v>
      </c>
    </row>
    <row r="26" ht="17.5" customHeight="1" spans="2:9">
      <c r="B26" s="293"/>
      <c r="C26" s="294"/>
      <c r="D26" s="295"/>
      <c r="E26" s="296"/>
      <c r="F26" s="289">
        <f>报关资料录入!J32</f>
        <v>0</v>
      </c>
      <c r="G26" s="290">
        <f>报关资料录入!K32</f>
        <v>0</v>
      </c>
      <c r="H26" s="299"/>
      <c r="I26" s="300"/>
    </row>
    <row r="27" ht="17.5" customHeight="1" spans="2:9">
      <c r="B27" s="285">
        <f>报关资料录入!B33</f>
        <v>7</v>
      </c>
      <c r="C27" s="286">
        <f>报关资料录入!E33</f>
        <v>0</v>
      </c>
      <c r="D27" s="287"/>
      <c r="E27" s="288">
        <f>报关资料录入!G33</f>
        <v>1</v>
      </c>
      <c r="F27" s="301">
        <f>报关资料录入!J33</f>
        <v>1</v>
      </c>
      <c r="G27" s="302" t="str">
        <f>报关资料录入!K33</f>
        <v>个</v>
      </c>
      <c r="H27" s="291">
        <f>报关资料录入!H33</f>
        <v>1</v>
      </c>
      <c r="I27" s="292">
        <f>报关资料录入!I33</f>
        <v>0</v>
      </c>
    </row>
    <row r="28" ht="17.5" customHeight="1" spans="2:9">
      <c r="B28" s="293"/>
      <c r="C28" s="294"/>
      <c r="D28" s="295"/>
      <c r="E28" s="296"/>
      <c r="F28" s="297">
        <f>报关资料录入!J34</f>
        <v>0</v>
      </c>
      <c r="G28" s="298">
        <f>报关资料录入!K34</f>
        <v>0</v>
      </c>
      <c r="H28" s="299"/>
      <c r="I28" s="300"/>
    </row>
    <row r="29" ht="17.5" customHeight="1" spans="2:9">
      <c r="B29" s="285">
        <f>报关资料录入!B35</f>
        <v>8</v>
      </c>
      <c r="C29" s="286">
        <f>报关资料录入!E35</f>
        <v>0</v>
      </c>
      <c r="D29" s="287"/>
      <c r="E29" s="288">
        <f>报关资料录入!G35</f>
        <v>1</v>
      </c>
      <c r="F29" s="289">
        <f>报关资料录入!J35</f>
        <v>1</v>
      </c>
      <c r="G29" s="290" t="str">
        <f>报关资料录入!K35</f>
        <v>个</v>
      </c>
      <c r="H29" s="291">
        <f>报关资料录入!H35</f>
        <v>1</v>
      </c>
      <c r="I29" s="292">
        <f>报关资料录入!I35</f>
        <v>0</v>
      </c>
    </row>
    <row r="30" ht="17.5" customHeight="1" spans="2:9">
      <c r="B30" s="293"/>
      <c r="C30" s="294"/>
      <c r="D30" s="295"/>
      <c r="E30" s="296"/>
      <c r="F30" s="297">
        <f>报关资料录入!J36</f>
        <v>0</v>
      </c>
      <c r="G30" s="298">
        <f>报关资料录入!K36</f>
        <v>0</v>
      </c>
      <c r="H30" s="299"/>
      <c r="I30" s="300"/>
    </row>
    <row r="31" ht="17.5" customHeight="1" spans="2:9">
      <c r="B31" s="285">
        <f>报关资料录入!B37</f>
        <v>9</v>
      </c>
      <c r="C31" s="286">
        <f>报关资料录入!E37</f>
        <v>0</v>
      </c>
      <c r="D31" s="287"/>
      <c r="E31" s="288">
        <f>报关资料录入!G37</f>
        <v>1</v>
      </c>
      <c r="F31" s="289">
        <f>报关资料录入!J37</f>
        <v>1</v>
      </c>
      <c r="G31" s="290" t="str">
        <f>报关资料录入!K37</f>
        <v>个</v>
      </c>
      <c r="H31" s="291">
        <f>报关资料录入!H37</f>
        <v>1</v>
      </c>
      <c r="I31" s="292">
        <f>报关资料录入!I37</f>
        <v>0</v>
      </c>
    </row>
    <row r="32" ht="17.5" customHeight="1" spans="2:9">
      <c r="B32" s="293"/>
      <c r="C32" s="294"/>
      <c r="D32" s="295"/>
      <c r="E32" s="296"/>
      <c r="F32" s="289">
        <f>报关资料录入!J38</f>
        <v>0</v>
      </c>
      <c r="G32" s="290">
        <f>报关资料录入!K38</f>
        <v>0</v>
      </c>
      <c r="H32" s="299"/>
      <c r="I32" s="300"/>
    </row>
    <row r="33" ht="17.5" customHeight="1" spans="2:9">
      <c r="B33" s="285">
        <f>报关资料录入!B39</f>
        <v>10</v>
      </c>
      <c r="C33" s="286">
        <f>报关资料录入!E39</f>
        <v>0</v>
      </c>
      <c r="D33" s="287"/>
      <c r="E33" s="288">
        <f>报关资料录入!G39</f>
        <v>1</v>
      </c>
      <c r="F33" s="301">
        <f>报关资料录入!J39</f>
        <v>1</v>
      </c>
      <c r="G33" s="302" t="str">
        <f>报关资料录入!K39</f>
        <v>个</v>
      </c>
      <c r="H33" s="291">
        <f>报关资料录入!H39</f>
        <v>1</v>
      </c>
      <c r="I33" s="292">
        <f>报关资料录入!I39</f>
        <v>0</v>
      </c>
    </row>
    <row r="34" ht="17.5" customHeight="1" spans="2:9">
      <c r="B34" s="293"/>
      <c r="C34" s="294"/>
      <c r="D34" s="295"/>
      <c r="E34" s="296"/>
      <c r="F34" s="289">
        <f>报关资料录入!J40</f>
        <v>0</v>
      </c>
      <c r="G34" s="290">
        <f>报关资料录入!K40</f>
        <v>0</v>
      </c>
      <c r="H34" s="299"/>
      <c r="I34" s="300"/>
    </row>
    <row r="35" ht="17.5" customHeight="1" spans="2:9">
      <c r="B35" s="285">
        <f>报关资料录入!B41</f>
        <v>11</v>
      </c>
      <c r="C35" s="286">
        <f>报关资料录入!E41</f>
        <v>0</v>
      </c>
      <c r="D35" s="287"/>
      <c r="E35" s="288">
        <f>报关资料录入!G41</f>
        <v>1</v>
      </c>
      <c r="F35" s="301">
        <f>报关资料录入!J41</f>
        <v>1</v>
      </c>
      <c r="G35" s="302" t="str">
        <f>报关资料录入!K41</f>
        <v>个</v>
      </c>
      <c r="H35" s="291">
        <f>报关资料录入!H41</f>
        <v>1</v>
      </c>
      <c r="I35" s="292">
        <f>报关资料录入!I41</f>
        <v>0</v>
      </c>
    </row>
    <row r="36" ht="17.5" customHeight="1" spans="2:9">
      <c r="B36" s="293"/>
      <c r="C36" s="294"/>
      <c r="D36" s="295"/>
      <c r="E36" s="296"/>
      <c r="F36" s="289">
        <f>报关资料录入!J42</f>
        <v>0</v>
      </c>
      <c r="G36" s="290">
        <f>报关资料录入!K42</f>
        <v>0</v>
      </c>
      <c r="H36" s="299"/>
      <c r="I36" s="300"/>
    </row>
    <row r="37" ht="17.5" customHeight="1" spans="2:9">
      <c r="B37" s="285">
        <f>报关资料录入!B43</f>
        <v>12</v>
      </c>
      <c r="C37" s="286">
        <f>报关资料录入!E43</f>
        <v>0</v>
      </c>
      <c r="D37" s="287"/>
      <c r="E37" s="288">
        <f>报关资料录入!G43</f>
        <v>1</v>
      </c>
      <c r="F37" s="301">
        <f>报关资料录入!J43</f>
        <v>1</v>
      </c>
      <c r="G37" s="302" t="str">
        <f>报关资料录入!K43</f>
        <v>个</v>
      </c>
      <c r="H37" s="291">
        <f>报关资料录入!H43</f>
        <v>1</v>
      </c>
      <c r="I37" s="292">
        <f>报关资料录入!I43</f>
        <v>0</v>
      </c>
    </row>
    <row r="38" ht="17.5" customHeight="1" spans="2:9">
      <c r="B38" s="293"/>
      <c r="C38" s="294"/>
      <c r="D38" s="295"/>
      <c r="E38" s="296"/>
      <c r="F38" s="289">
        <f>报关资料录入!J44</f>
        <v>0</v>
      </c>
      <c r="G38" s="290">
        <f>报关资料录入!K44</f>
        <v>0</v>
      </c>
      <c r="H38" s="299"/>
      <c r="I38" s="300"/>
    </row>
    <row r="39" ht="17.5" customHeight="1" spans="2:9">
      <c r="B39" s="285">
        <f>报关资料录入!B45</f>
        <v>13</v>
      </c>
      <c r="C39" s="286">
        <f>报关资料录入!E45</f>
        <v>0</v>
      </c>
      <c r="D39" s="287"/>
      <c r="E39" s="288">
        <f>报关资料录入!G45</f>
        <v>1</v>
      </c>
      <c r="F39" s="301">
        <f>报关资料录入!J45</f>
        <v>1</v>
      </c>
      <c r="G39" s="302" t="str">
        <f>报关资料录入!K45</f>
        <v>个</v>
      </c>
      <c r="H39" s="291">
        <f>报关资料录入!H45</f>
        <v>1</v>
      </c>
      <c r="I39" s="292">
        <f>报关资料录入!I45</f>
        <v>0</v>
      </c>
    </row>
    <row r="40" ht="17.5" customHeight="1" spans="2:9">
      <c r="B40" s="293"/>
      <c r="C40" s="294"/>
      <c r="D40" s="295"/>
      <c r="E40" s="296"/>
      <c r="F40" s="289">
        <f>报关资料录入!J46</f>
        <v>0</v>
      </c>
      <c r="G40" s="290">
        <f>报关资料录入!K46</f>
        <v>0</v>
      </c>
      <c r="H40" s="299"/>
      <c r="I40" s="300"/>
    </row>
    <row r="41" ht="17.5" customHeight="1" spans="2:9">
      <c r="B41" s="285">
        <f>报关资料录入!B47</f>
        <v>14</v>
      </c>
      <c r="C41" s="286">
        <f>报关资料录入!E47</f>
        <v>0</v>
      </c>
      <c r="D41" s="287"/>
      <c r="E41" s="288">
        <f>报关资料录入!G47</f>
        <v>1</v>
      </c>
      <c r="F41" s="301">
        <f>报关资料录入!J47</f>
        <v>1</v>
      </c>
      <c r="G41" s="302" t="str">
        <f>报关资料录入!K47</f>
        <v>个</v>
      </c>
      <c r="H41" s="291">
        <f>报关资料录入!H47</f>
        <v>1</v>
      </c>
      <c r="I41" s="292">
        <f>报关资料录入!I47</f>
        <v>0</v>
      </c>
    </row>
    <row r="42" ht="17.5" customHeight="1" spans="2:9">
      <c r="B42" s="293"/>
      <c r="C42" s="294"/>
      <c r="D42" s="295"/>
      <c r="E42" s="296"/>
      <c r="F42" s="289">
        <f>报关资料录入!J48</f>
        <v>0</v>
      </c>
      <c r="G42" s="290">
        <f>报关资料录入!K48</f>
        <v>0</v>
      </c>
      <c r="H42" s="299"/>
      <c r="I42" s="300"/>
    </row>
    <row r="43" ht="17.5" customHeight="1" spans="2:9">
      <c r="B43" s="285">
        <f>报关资料录入!B49</f>
        <v>15</v>
      </c>
      <c r="C43" s="286">
        <f>报关资料录入!E49</f>
        <v>0</v>
      </c>
      <c r="D43" s="287"/>
      <c r="E43" s="288">
        <f>报关资料录入!G49</f>
        <v>1</v>
      </c>
      <c r="F43" s="301">
        <f>报关资料录入!J49</f>
        <v>1</v>
      </c>
      <c r="G43" s="302" t="str">
        <f>报关资料录入!K49</f>
        <v>个</v>
      </c>
      <c r="H43" s="291">
        <f>报关资料录入!H49</f>
        <v>1</v>
      </c>
      <c r="I43" s="292">
        <f>报关资料录入!I49</f>
        <v>0</v>
      </c>
    </row>
    <row r="44" ht="17.5" customHeight="1" spans="2:9">
      <c r="B44" s="293"/>
      <c r="C44" s="294"/>
      <c r="D44" s="295"/>
      <c r="E44" s="296"/>
      <c r="F44" s="289">
        <f>报关资料录入!J50</f>
        <v>0</v>
      </c>
      <c r="G44" s="290">
        <f>报关资料录入!K50</f>
        <v>0</v>
      </c>
      <c r="H44" s="299"/>
      <c r="I44" s="300"/>
    </row>
    <row r="45" ht="17.5" customHeight="1" spans="2:9">
      <c r="B45" s="285">
        <f>报关资料录入!B51</f>
        <v>16</v>
      </c>
      <c r="C45" s="286">
        <f>报关资料录入!E51</f>
        <v>0</v>
      </c>
      <c r="D45" s="287"/>
      <c r="E45" s="288">
        <f>报关资料录入!G51</f>
        <v>1</v>
      </c>
      <c r="F45" s="301">
        <f>报关资料录入!J51</f>
        <v>1</v>
      </c>
      <c r="G45" s="302" t="str">
        <f>报关资料录入!K51</f>
        <v>个</v>
      </c>
      <c r="H45" s="291">
        <f>报关资料录入!H51</f>
        <v>1</v>
      </c>
      <c r="I45" s="292">
        <f>报关资料录入!I51</f>
        <v>0</v>
      </c>
    </row>
    <row r="46" ht="17.5" customHeight="1" spans="2:9">
      <c r="B46" s="293"/>
      <c r="C46" s="294"/>
      <c r="D46" s="295"/>
      <c r="E46" s="296"/>
      <c r="F46" s="297">
        <f>报关资料录入!J52</f>
        <v>0</v>
      </c>
      <c r="G46" s="298">
        <f>报关资料录入!K52</f>
        <v>0</v>
      </c>
      <c r="H46" s="299"/>
      <c r="I46" s="300"/>
    </row>
    <row r="47" ht="17.5" customHeight="1" spans="2:9">
      <c r="B47" s="285">
        <f>报关资料录入!B53</f>
        <v>17</v>
      </c>
      <c r="C47" s="286">
        <f>报关资料录入!E53</f>
        <v>0</v>
      </c>
      <c r="D47" s="287"/>
      <c r="E47" s="288">
        <f>报关资料录入!G53</f>
        <v>1</v>
      </c>
      <c r="F47" s="289">
        <f>报关资料录入!J53</f>
        <v>1</v>
      </c>
      <c r="G47" s="290" t="str">
        <f>报关资料录入!K53</f>
        <v>个</v>
      </c>
      <c r="H47" s="291">
        <f>报关资料录入!H53</f>
        <v>1</v>
      </c>
      <c r="I47" s="292">
        <f>报关资料录入!I53</f>
        <v>0</v>
      </c>
    </row>
    <row r="48" ht="17.5" customHeight="1" spans="2:9">
      <c r="B48" s="293"/>
      <c r="C48" s="294"/>
      <c r="D48" s="295"/>
      <c r="E48" s="296"/>
      <c r="F48" s="289">
        <f>报关资料录入!J54</f>
        <v>0</v>
      </c>
      <c r="G48" s="290">
        <f>报关资料录入!K54</f>
        <v>0</v>
      </c>
      <c r="H48" s="299"/>
      <c r="I48" s="300"/>
    </row>
    <row r="49" ht="17.5" customHeight="1" spans="2:9">
      <c r="B49" s="285">
        <f>报关资料录入!B55</f>
        <v>18</v>
      </c>
      <c r="C49" s="286">
        <f>报关资料录入!E55</f>
        <v>0</v>
      </c>
      <c r="D49" s="287"/>
      <c r="E49" s="288">
        <f>报关资料录入!G55</f>
        <v>1</v>
      </c>
      <c r="F49" s="301">
        <f>报关资料录入!J55</f>
        <v>1</v>
      </c>
      <c r="G49" s="302" t="str">
        <f>报关资料录入!K55</f>
        <v>个</v>
      </c>
      <c r="H49" s="291">
        <f>报关资料录入!H55</f>
        <v>1</v>
      </c>
      <c r="I49" s="292">
        <f>报关资料录入!I55</f>
        <v>0</v>
      </c>
    </row>
    <row r="50" ht="17.5" customHeight="1" spans="2:9">
      <c r="B50" s="293"/>
      <c r="C50" s="294"/>
      <c r="D50" s="295"/>
      <c r="E50" s="296"/>
      <c r="F50" s="289">
        <f>报关资料录入!J56</f>
        <v>0</v>
      </c>
      <c r="G50" s="290">
        <f>报关资料录入!K56</f>
        <v>0</v>
      </c>
      <c r="H50" s="299"/>
      <c r="I50" s="300"/>
    </row>
    <row r="51" ht="17.5" customHeight="1" spans="2:9">
      <c r="B51" s="285">
        <f>报关资料录入!B57</f>
        <v>19</v>
      </c>
      <c r="C51" s="286">
        <f>报关资料录入!E57</f>
        <v>0</v>
      </c>
      <c r="D51" s="287"/>
      <c r="E51" s="288">
        <f>报关资料录入!G57</f>
        <v>1</v>
      </c>
      <c r="F51" s="301">
        <f>报关资料录入!J57</f>
        <v>1</v>
      </c>
      <c r="G51" s="302" t="str">
        <f>报关资料录入!K57</f>
        <v>个</v>
      </c>
      <c r="H51" s="291">
        <f>报关资料录入!H57</f>
        <v>1</v>
      </c>
      <c r="I51" s="292">
        <f>报关资料录入!I57</f>
        <v>0</v>
      </c>
    </row>
    <row r="52" ht="17.5" customHeight="1" spans="2:9">
      <c r="B52" s="293"/>
      <c r="C52" s="294"/>
      <c r="D52" s="295"/>
      <c r="E52" s="296"/>
      <c r="F52" s="289">
        <f>报关资料录入!J58</f>
        <v>0</v>
      </c>
      <c r="G52" s="290">
        <f>报关资料录入!K58</f>
        <v>0</v>
      </c>
      <c r="H52" s="299"/>
      <c r="I52" s="300"/>
    </row>
    <row r="53" ht="17.5" customHeight="1" spans="2:9">
      <c r="B53" s="285">
        <f>报关资料录入!B59</f>
        <v>20</v>
      </c>
      <c r="C53" s="286">
        <f>报关资料录入!E59</f>
        <v>0</v>
      </c>
      <c r="D53" s="287"/>
      <c r="E53" s="288">
        <f>报关资料录入!G59</f>
        <v>1</v>
      </c>
      <c r="F53" s="301">
        <f>报关资料录入!J59</f>
        <v>1</v>
      </c>
      <c r="G53" s="302" t="str">
        <f>报关资料录入!K59</f>
        <v>个</v>
      </c>
      <c r="H53" s="291">
        <f>报关资料录入!H59</f>
        <v>1</v>
      </c>
      <c r="I53" s="292">
        <f>报关资料录入!I59</f>
        <v>0</v>
      </c>
    </row>
    <row r="54" ht="17.5" customHeight="1" spans="2:9">
      <c r="B54" s="293"/>
      <c r="C54" s="294"/>
      <c r="D54" s="295"/>
      <c r="E54" s="296"/>
      <c r="F54" s="289">
        <f>报关资料录入!J60</f>
        <v>0</v>
      </c>
      <c r="G54" s="290">
        <f>报关资料录入!K60</f>
        <v>0</v>
      </c>
      <c r="H54" s="299"/>
      <c r="I54" s="300"/>
    </row>
    <row r="55" ht="17.5" customHeight="1" spans="2:9">
      <c r="B55" s="285">
        <f>报关资料录入!B61</f>
        <v>21</v>
      </c>
      <c r="C55" s="286">
        <f>报关资料录入!E61</f>
        <v>0</v>
      </c>
      <c r="D55" s="287"/>
      <c r="E55" s="288">
        <f>报关资料录入!G61</f>
        <v>1</v>
      </c>
      <c r="F55" s="301">
        <f>报关资料录入!J61</f>
        <v>1</v>
      </c>
      <c r="G55" s="302" t="str">
        <f>报关资料录入!K61</f>
        <v>个</v>
      </c>
      <c r="H55" s="291">
        <f>报关资料录入!H61</f>
        <v>1</v>
      </c>
      <c r="I55" s="292">
        <f>报关资料录入!I61</f>
        <v>0</v>
      </c>
    </row>
    <row r="56" ht="17" customHeight="1" spans="2:9">
      <c r="B56" s="293"/>
      <c r="C56" s="294"/>
      <c r="D56" s="295"/>
      <c r="E56" s="296"/>
      <c r="F56" s="289">
        <f>报关资料录入!J62</f>
        <v>0</v>
      </c>
      <c r="G56" s="290">
        <f>报关资料录入!K62</f>
        <v>0</v>
      </c>
      <c r="H56" s="299"/>
      <c r="I56" s="300"/>
    </row>
    <row r="57" ht="17" customHeight="1" spans="2:9">
      <c r="B57" s="285">
        <f>报关资料录入!B63</f>
        <v>22</v>
      </c>
      <c r="C57" s="286">
        <f>报关资料录入!E63</f>
        <v>0</v>
      </c>
      <c r="D57" s="287"/>
      <c r="E57" s="288">
        <f>报关资料录入!G63</f>
        <v>1</v>
      </c>
      <c r="F57" s="301">
        <f>报关资料录入!J63</f>
        <v>1</v>
      </c>
      <c r="G57" s="302" t="str">
        <f>报关资料录入!K63</f>
        <v>个</v>
      </c>
      <c r="H57" s="291">
        <f>报关资料录入!H63</f>
        <v>1</v>
      </c>
      <c r="I57" s="292">
        <f>报关资料录入!I63</f>
        <v>0</v>
      </c>
    </row>
    <row r="58" ht="17" customHeight="1" spans="2:9">
      <c r="B58" s="303"/>
      <c r="C58" s="304"/>
      <c r="D58" s="305"/>
      <c r="E58" s="296"/>
      <c r="F58" s="289">
        <f>报关资料录入!J64</f>
        <v>0</v>
      </c>
      <c r="G58" s="290">
        <f>报关资料录入!K64</f>
        <v>0</v>
      </c>
      <c r="H58" s="299"/>
      <c r="I58" s="300"/>
    </row>
    <row r="59" ht="17" customHeight="1" spans="2:9">
      <c r="B59" s="306">
        <f>报关资料录入!B65</f>
        <v>23</v>
      </c>
      <c r="C59" s="307">
        <f>报关资料录入!E65</f>
        <v>0</v>
      </c>
      <c r="D59" s="307"/>
      <c r="E59" s="288">
        <f>报关资料录入!G65</f>
        <v>1</v>
      </c>
      <c r="F59" s="301">
        <f>报关资料录入!J65</f>
        <v>1</v>
      </c>
      <c r="G59" s="302" t="str">
        <f>报关资料录入!K65</f>
        <v>个</v>
      </c>
      <c r="H59" s="291">
        <f>报关资料录入!H65</f>
        <v>1</v>
      </c>
      <c r="I59" s="292">
        <f>报关资料录入!I65</f>
        <v>0</v>
      </c>
    </row>
    <row r="60" ht="17" customHeight="1" spans="2:9">
      <c r="B60" s="308"/>
      <c r="C60" s="309"/>
      <c r="D60" s="309"/>
      <c r="E60" s="296"/>
      <c r="F60" s="297">
        <f>报关资料录入!J66</f>
        <v>0</v>
      </c>
      <c r="G60" s="298">
        <f>报关资料录入!K66</f>
        <v>0</v>
      </c>
      <c r="H60" s="299"/>
      <c r="I60" s="300"/>
    </row>
    <row r="61" ht="17" customHeight="1" spans="2:9">
      <c r="B61" s="310">
        <f>报关资料录入!B67</f>
        <v>24</v>
      </c>
      <c r="C61" s="311">
        <f>报关资料录入!E67</f>
        <v>0</v>
      </c>
      <c r="D61" s="311"/>
      <c r="E61" s="288">
        <f>报关资料录入!G67</f>
        <v>1</v>
      </c>
      <c r="F61" s="289">
        <f>报关资料录入!J67</f>
        <v>1</v>
      </c>
      <c r="G61" s="290" t="str">
        <f>报关资料录入!K67</f>
        <v>个</v>
      </c>
      <c r="H61" s="291">
        <f>报关资料录入!H67</f>
        <v>1</v>
      </c>
      <c r="I61" s="292">
        <f>报关资料录入!I67</f>
        <v>0</v>
      </c>
    </row>
    <row r="62" ht="17" customHeight="1" spans="2:9">
      <c r="B62" s="312"/>
      <c r="C62" s="313"/>
      <c r="D62" s="313"/>
      <c r="E62" s="314"/>
      <c r="F62" s="289">
        <f>报关资料录入!J68</f>
        <v>0</v>
      </c>
      <c r="G62" s="290">
        <f>报关资料录入!K68</f>
        <v>0</v>
      </c>
      <c r="H62" s="315"/>
      <c r="I62" s="316"/>
    </row>
    <row r="63" ht="17" customHeight="1" spans="2:9">
      <c r="B63" s="306">
        <f>报关资料录入!B69</f>
        <v>25</v>
      </c>
      <c r="C63" s="307">
        <f>报关资料录入!E69</f>
        <v>0</v>
      </c>
      <c r="D63" s="307"/>
      <c r="E63" s="296">
        <f>报关资料录入!G69</f>
        <v>1</v>
      </c>
      <c r="F63" s="301">
        <f>报关资料录入!J69</f>
        <v>1</v>
      </c>
      <c r="G63" s="302" t="str">
        <f>报关资料录入!K69</f>
        <v>个</v>
      </c>
      <c r="H63" s="299">
        <f>报关资料录入!H69</f>
        <v>1</v>
      </c>
      <c r="I63" s="300">
        <f>报关资料录入!I69</f>
        <v>0</v>
      </c>
    </row>
    <row r="64" ht="17" customHeight="1" spans="2:9">
      <c r="B64" s="308"/>
      <c r="C64" s="309"/>
      <c r="D64" s="309"/>
      <c r="E64" s="296"/>
      <c r="F64" s="297">
        <f>报关资料录入!J70</f>
        <v>0</v>
      </c>
      <c r="G64" s="298">
        <f>报关资料录入!K70</f>
        <v>0</v>
      </c>
      <c r="H64" s="299"/>
      <c r="I64" s="300"/>
    </row>
    <row r="65" ht="17" customHeight="1" spans="2:9">
      <c r="B65" s="306">
        <f>报关资料录入!B71</f>
        <v>26</v>
      </c>
      <c r="C65" s="307">
        <f>报关资料录入!E71</f>
        <v>0</v>
      </c>
      <c r="D65" s="307"/>
      <c r="E65" s="288">
        <f>报关资料录入!G71</f>
        <v>1</v>
      </c>
      <c r="F65" s="301">
        <f>报关资料录入!J71</f>
        <v>1</v>
      </c>
      <c r="G65" s="302" t="str">
        <f>报关资料录入!K71</f>
        <v>个</v>
      </c>
      <c r="H65" s="291">
        <f>报关资料录入!H71</f>
        <v>1</v>
      </c>
      <c r="I65" s="292">
        <f>报关资料录入!I71</f>
        <v>0</v>
      </c>
    </row>
    <row r="66" ht="17" customHeight="1" spans="2:9">
      <c r="B66" s="312"/>
      <c r="C66" s="313"/>
      <c r="D66" s="313"/>
      <c r="E66" s="314"/>
      <c r="F66" s="289">
        <f>报关资料录入!J72</f>
        <v>0</v>
      </c>
      <c r="G66" s="290">
        <f>报关资料录入!K72</f>
        <v>0</v>
      </c>
      <c r="H66" s="299"/>
      <c r="I66" s="300"/>
    </row>
    <row r="67" ht="17" customHeight="1" spans="2:9">
      <c r="B67" s="306">
        <f>报关资料录入!B73</f>
        <v>27</v>
      </c>
      <c r="C67" s="307">
        <f>报关资料录入!E73</f>
        <v>0</v>
      </c>
      <c r="D67" s="307"/>
      <c r="E67" s="296">
        <f>报关资料录入!G73</f>
        <v>1</v>
      </c>
      <c r="F67" s="301">
        <f>报关资料录入!J73</f>
        <v>1</v>
      </c>
      <c r="G67" s="302" t="str">
        <f>报关资料录入!K73</f>
        <v>个</v>
      </c>
      <c r="H67" s="291">
        <f>报关资料录入!H73</f>
        <v>1</v>
      </c>
      <c r="I67" s="292">
        <f>报关资料录入!I73</f>
        <v>0</v>
      </c>
    </row>
    <row r="68" ht="17" customHeight="1" spans="2:9">
      <c r="B68" s="308"/>
      <c r="C68" s="309"/>
      <c r="D68" s="309"/>
      <c r="E68" s="296"/>
      <c r="F68" s="297">
        <f>报关资料录入!J74</f>
        <v>0</v>
      </c>
      <c r="G68" s="298">
        <f>报关资料录入!K74</f>
        <v>0</v>
      </c>
      <c r="H68" s="299"/>
      <c r="I68" s="300"/>
    </row>
    <row r="69" ht="17" customHeight="1" spans="2:9">
      <c r="B69" s="306">
        <f>报关资料录入!B75</f>
        <v>28</v>
      </c>
      <c r="C69" s="307">
        <f>报关资料录入!E75</f>
        <v>0</v>
      </c>
      <c r="D69" s="307"/>
      <c r="E69" s="288">
        <f>报关资料录入!G75</f>
        <v>1</v>
      </c>
      <c r="F69" s="301">
        <f>报关资料录入!J75</f>
        <v>1</v>
      </c>
      <c r="G69" s="302" t="str">
        <f>报关资料录入!K75</f>
        <v>个</v>
      </c>
      <c r="H69" s="291">
        <f>报关资料录入!H75</f>
        <v>1</v>
      </c>
      <c r="I69" s="292">
        <f>报关资料录入!I75</f>
        <v>0</v>
      </c>
    </row>
    <row r="70" ht="17" customHeight="1" spans="2:9">
      <c r="B70" s="308"/>
      <c r="C70" s="309"/>
      <c r="D70" s="309"/>
      <c r="E70" s="296"/>
      <c r="F70" s="297">
        <f>报关资料录入!J76</f>
        <v>0</v>
      </c>
      <c r="G70" s="298">
        <f>报关资料录入!K76</f>
        <v>0</v>
      </c>
      <c r="H70" s="299"/>
      <c r="I70" s="300"/>
    </row>
    <row r="71" ht="17" customHeight="1" spans="2:9">
      <c r="B71" s="306">
        <f>报关资料录入!B77</f>
        <v>29</v>
      </c>
      <c r="C71" s="307">
        <f>报关资料录入!E77</f>
        <v>0</v>
      </c>
      <c r="D71" s="307"/>
      <c r="E71" s="288">
        <f>报关资料录入!G77</f>
        <v>1</v>
      </c>
      <c r="F71" s="301">
        <f>报关资料录入!J77</f>
        <v>1</v>
      </c>
      <c r="G71" s="302" t="str">
        <f>报关资料录入!K77</f>
        <v>个</v>
      </c>
      <c r="H71" s="291">
        <f>报关资料录入!H77</f>
        <v>1</v>
      </c>
      <c r="I71" s="292">
        <f>报关资料录入!I77</f>
        <v>0</v>
      </c>
    </row>
    <row r="72" ht="17" customHeight="1" spans="2:9">
      <c r="B72" s="308"/>
      <c r="C72" s="309"/>
      <c r="D72" s="309"/>
      <c r="E72" s="296"/>
      <c r="F72" s="297">
        <f>报关资料录入!J78</f>
        <v>0</v>
      </c>
      <c r="G72" s="298">
        <f>报关资料录入!K78</f>
        <v>0</v>
      </c>
      <c r="H72" s="299"/>
      <c r="I72" s="300"/>
    </row>
    <row r="73" ht="17" customHeight="1" spans="2:9">
      <c r="B73" s="306">
        <f>报关资料录入!B79</f>
        <v>30</v>
      </c>
      <c r="C73" s="307">
        <f>报关资料录入!E79</f>
        <v>0</v>
      </c>
      <c r="D73" s="307"/>
      <c r="E73" s="288">
        <f>报关资料录入!G79</f>
        <v>1</v>
      </c>
      <c r="F73" s="301">
        <f>报关资料录入!J79</f>
        <v>1</v>
      </c>
      <c r="G73" s="302" t="str">
        <f>报关资料录入!K75</f>
        <v>个</v>
      </c>
      <c r="H73" s="291">
        <f>报关资料录入!H79</f>
        <v>1</v>
      </c>
      <c r="I73" s="292">
        <f>报关资料录入!I79</f>
        <v>0</v>
      </c>
    </row>
    <row r="74" ht="17" customHeight="1" spans="2:9">
      <c r="B74" s="317"/>
      <c r="C74" s="318"/>
      <c r="D74" s="318"/>
      <c r="E74" s="319"/>
      <c r="F74" s="320">
        <f>报关资料录入!J80</f>
        <v>0</v>
      </c>
      <c r="G74" s="321">
        <f>报关资料录入!K76</f>
        <v>0</v>
      </c>
      <c r="H74" s="322"/>
      <c r="I74" s="323"/>
    </row>
    <row r="75" ht="17" customHeight="1" spans="2:9">
      <c r="B75" s="324"/>
      <c r="C75" s="325"/>
      <c r="D75" s="325"/>
      <c r="E75" s="326"/>
      <c r="F75" s="289"/>
      <c r="G75" s="290"/>
      <c r="H75" s="327"/>
      <c r="I75" s="328"/>
    </row>
    <row r="76" ht="17" customHeight="1" spans="2:9">
      <c r="B76" s="324"/>
      <c r="C76" s="325"/>
      <c r="D76" s="325"/>
      <c r="E76" s="326"/>
      <c r="F76" s="289"/>
      <c r="G76" s="290"/>
      <c r="H76" s="327"/>
      <c r="I76" s="328"/>
    </row>
    <row r="77" ht="17" customHeight="1" spans="2:9">
      <c r="B77" s="329" t="s">
        <v>119</v>
      </c>
      <c r="C77" s="258"/>
      <c r="D77" s="258"/>
      <c r="E77" s="330">
        <f>SUM(E15:E73)</f>
        <v>30</v>
      </c>
      <c r="F77" s="331"/>
      <c r="G77" s="332"/>
      <c r="H77" s="261">
        <f>SUM(H15:H73)</f>
        <v>30</v>
      </c>
      <c r="I77" s="333">
        <f>SUM(I15:I73)</f>
        <v>0</v>
      </c>
    </row>
    <row r="78" ht="15" customHeight="1" spans="2:9">
      <c r="B78" s="334"/>
      <c r="C78" s="335"/>
      <c r="D78" s="335"/>
      <c r="E78" s="336"/>
      <c r="F78" s="337"/>
      <c r="G78" s="338"/>
      <c r="H78" s="339"/>
      <c r="I78" s="340"/>
    </row>
    <row r="79" ht="13" customHeight="1" spans="2:9">
      <c r="B79" s="271" t="s">
        <v>120</v>
      </c>
      <c r="C79" s="156"/>
    </row>
    <row r="80" ht="6" customHeight="1" spans="2:9">
      <c r="B80" s="272"/>
      <c r="C80" s="272"/>
      <c r="D80" s="272"/>
    </row>
    <row r="81" spans="2:4">
      <c r="B81" s="273" t="str">
        <f>报关资料录入!H16</f>
        <v>N/M</v>
      </c>
      <c r="C81" s="273"/>
      <c r="D81" s="273"/>
    </row>
    <row r="82" spans="2:4">
      <c r="B82" s="273"/>
      <c r="C82" s="273"/>
      <c r="D82" s="273"/>
    </row>
    <row r="83" spans="2:4">
      <c r="B83" s="273"/>
      <c r="C83" s="273"/>
      <c r="D83" s="273"/>
    </row>
    <row r="84" spans="2:4">
      <c r="B84" s="273"/>
      <c r="C84" s="273"/>
      <c r="D84" s="273"/>
    </row>
    <row r="85" spans="2:4">
      <c r="B85" s="272"/>
      <c r="C85" s="272"/>
      <c r="D85" s="272"/>
    </row>
  </sheetData>
  <sheetProtection selectLockedCells="1"/>
  <mergeCells count="177">
    <mergeCell ref="B2:I2"/>
    <mergeCell ref="B3:I3"/>
    <mergeCell ref="B4:I4"/>
    <mergeCell ref="B5:I5"/>
    <mergeCell ref="B6:I6"/>
    <mergeCell ref="B7:C7"/>
    <mergeCell ref="D7:F7"/>
    <mergeCell ref="G7:H7"/>
    <mergeCell ref="B10:C10"/>
    <mergeCell ref="D10:E10"/>
    <mergeCell ref="G10:H10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7:E78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H65:H66"/>
    <mergeCell ref="H67:H68"/>
    <mergeCell ref="H69:H70"/>
    <mergeCell ref="H71:H72"/>
    <mergeCell ref="H73:H74"/>
    <mergeCell ref="H77:H78"/>
    <mergeCell ref="I8:I9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7:I78"/>
    <mergeCell ref="B8:C9"/>
    <mergeCell ref="C13:D14"/>
    <mergeCell ref="F13:G14"/>
    <mergeCell ref="C15:D16"/>
    <mergeCell ref="G8:H9"/>
    <mergeCell ref="D8:F9"/>
    <mergeCell ref="C17:D18"/>
    <mergeCell ref="C19:D20"/>
    <mergeCell ref="C21:D22"/>
    <mergeCell ref="C23:D24"/>
    <mergeCell ref="C25:D26"/>
    <mergeCell ref="C27:D28"/>
    <mergeCell ref="C29:D30"/>
    <mergeCell ref="C31:D32"/>
    <mergeCell ref="C33:D34"/>
    <mergeCell ref="C35:D36"/>
    <mergeCell ref="C37:D38"/>
    <mergeCell ref="C39:D40"/>
    <mergeCell ref="C41:D42"/>
    <mergeCell ref="C43:D44"/>
    <mergeCell ref="C45:D46"/>
    <mergeCell ref="C47:D48"/>
    <mergeCell ref="C49:D50"/>
    <mergeCell ref="C51:D52"/>
    <mergeCell ref="C53:D54"/>
    <mergeCell ref="C55:D56"/>
    <mergeCell ref="C57:D58"/>
    <mergeCell ref="C59:D60"/>
    <mergeCell ref="C61:D62"/>
    <mergeCell ref="C63:D64"/>
    <mergeCell ref="C65:D66"/>
    <mergeCell ref="C67:D68"/>
    <mergeCell ref="C69:D70"/>
    <mergeCell ref="C73:D74"/>
    <mergeCell ref="B81:D84"/>
    <mergeCell ref="B77:D78"/>
    <mergeCell ref="F77:G78"/>
    <mergeCell ref="C71:D72"/>
  </mergeCells>
  <dataValidations count="1">
    <dataValidation allowBlank="1" showInputMessage="1" showErrorMessage="1" sqref="B6:I6" errorStyle="information"/>
  </dataValidations>
  <pageMargins left="0.75" right="0.75" top="1" bottom="1" header="0.5" footer="0.5"/>
  <pageSetup paperSize="9" scale="45" orientation="portrait" horizontalDpi="300" verticalDpi="300"/>
  <headerFooter alignWithMargins="0" scaleWithDoc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46"/>
  </sheetPr>
  <dimension ref="B1:P53"/>
  <sheetViews>
    <sheetView showGridLines="0" showZeros="0" view="pageBreakPreview" zoomScale="70" zoomScaleNormal="100" topLeftCell="A4" workbookViewId="0">
      <selection activeCell="O42" sqref="O42"/>
    </sheetView>
  </sheetViews>
  <sheetFormatPr defaultColWidth="9" defaultRowHeight="16.5"/>
  <cols>
    <col min="1" max="1" width="2.25" style="120" customWidth="1"/>
    <col min="2" max="2" width="7.08333333333333" style="121" customWidth="1"/>
    <col min="3" max="3" width="7.33333333333333" style="121" customWidth="1"/>
    <col min="4" max="4" width="20.75" style="121" customWidth="1"/>
    <col min="5" max="5" width="9.58333333333333" style="121" customWidth="1"/>
    <col min="6" max="6" width="9.46666666666667" style="121" customWidth="1"/>
    <col min="7" max="7" width="6.06666666666667" style="122" customWidth="1"/>
    <col min="8" max="8" width="11.75" style="121" customWidth="1"/>
    <col min="9" max="9" width="7.31666666666667" style="121" customWidth="1"/>
    <col min="10" max="10" width="12.5833333333333" style="121" customWidth="1"/>
    <col min="11" max="16384" width="9" style="120"/>
  </cols>
  <sheetData>
    <row r="1" ht="8" customHeight="1"/>
    <row r="2" ht="30" customHeight="1" spans="2:16">
      <c r="B2" s="222" t="str">
        <f>报关资料录入!E4</f>
        <v>深圳市沐星科技有限公司</v>
      </c>
      <c r="C2" s="222"/>
      <c r="D2" s="222"/>
      <c r="E2" s="222"/>
      <c r="F2" s="222"/>
      <c r="G2" s="222"/>
      <c r="H2" s="222"/>
      <c r="I2" s="222"/>
      <c r="J2" s="222"/>
    </row>
    <row r="3" ht="16" customHeight="1" spans="2:16">
      <c r="B3" s="223" t="str">
        <f>"地址:"&amp;报关资料录入!E7</f>
        <v>地址:深圳市龙岗区龙城街道黄阁坑社区吉祥里豪庭9栋铭德大厦A、B栋A座1010</v>
      </c>
      <c r="C3" s="223"/>
      <c r="D3" s="223"/>
      <c r="E3" s="223"/>
      <c r="F3" s="223"/>
      <c r="G3" s="223"/>
      <c r="H3" s="223"/>
      <c r="I3" s="223"/>
      <c r="J3" s="223"/>
    </row>
    <row r="4" ht="15" customHeight="1" spans="2:16">
      <c r="B4" s="123"/>
      <c r="C4" s="123"/>
      <c r="D4" s="123"/>
      <c r="E4" s="123"/>
      <c r="F4" s="123"/>
      <c r="G4" s="123"/>
      <c r="H4" s="123"/>
      <c r="I4" s="123"/>
      <c r="J4" s="123"/>
    </row>
    <row r="5" ht="20" spans="2:16">
      <c r="B5" s="224" t="s">
        <v>121</v>
      </c>
      <c r="C5" s="224"/>
      <c r="D5" s="224"/>
      <c r="E5" s="224"/>
      <c r="F5" s="224"/>
      <c r="G5" s="224"/>
      <c r="H5" s="224"/>
      <c r="I5" s="224"/>
      <c r="J5" s="224"/>
    </row>
    <row r="6" ht="19" spans="2:16">
      <c r="B6" s="125" t="s">
        <v>122</v>
      </c>
      <c r="C6" s="125"/>
      <c r="D6" s="125"/>
      <c r="E6" s="125"/>
      <c r="F6" s="125"/>
      <c r="G6" s="125"/>
      <c r="H6" s="125"/>
      <c r="I6" s="125"/>
      <c r="J6" s="125"/>
    </row>
    <row r="7" ht="36" customHeight="1" spans="2:16">
      <c r="B7" s="142" t="s">
        <v>105</v>
      </c>
      <c r="C7" s="142"/>
      <c r="D7" s="225" t="str">
        <f>报关资料录入!H4</f>
        <v>HONG KONG HENGSHUO INTELLIGENT TECHNOLOGY CO., LIMITED</v>
      </c>
      <c r="E7" s="225"/>
      <c r="F7" s="225"/>
      <c r="G7" s="226" t="s">
        <v>106</v>
      </c>
      <c r="H7" s="227"/>
      <c r="I7" s="228">
        <f>报关资料录入!G3</f>
        <v>46115</v>
      </c>
      <c r="J7" s="228"/>
    </row>
    <row r="8" ht="15" customHeight="1" spans="2:16">
      <c r="B8" s="142" t="s">
        <v>107</v>
      </c>
      <c r="C8" s="142"/>
      <c r="D8" s="139" t="str">
        <f>报关资料录入!H5</f>
        <v>WORKSHOP 60, 3/F, BLOCK A, EAST SUN INDUSTRIAL CENTRE NO.16, SHING YIP STREET KL</v>
      </c>
      <c r="E8" s="139"/>
      <c r="F8" s="139"/>
      <c r="G8" s="229" t="s">
        <v>123</v>
      </c>
      <c r="H8" s="230"/>
      <c r="I8" s="231" t="str">
        <f>报关资料录入!K9</f>
        <v>HS-US-20260312</v>
      </c>
      <c r="J8" s="231"/>
    </row>
    <row r="9" ht="15" customHeight="1" spans="2:16">
      <c r="B9" s="142"/>
      <c r="C9" s="142"/>
      <c r="D9" s="232"/>
      <c r="E9" s="232"/>
      <c r="F9" s="232"/>
      <c r="G9" s="229"/>
      <c r="H9" s="230"/>
      <c r="I9" s="233"/>
      <c r="J9" s="233"/>
    </row>
    <row r="10" ht="28" customHeight="1" spans="2:16">
      <c r="B10" s="234" t="s">
        <v>109</v>
      </c>
      <c r="C10" s="235"/>
      <c r="D10" s="236" t="str">
        <f>装箱单!D10</f>
        <v>由 深圳 至 美国</v>
      </c>
      <c r="E10" s="236"/>
      <c r="F10" s="237"/>
      <c r="G10" s="238" t="s">
        <v>110</v>
      </c>
      <c r="H10" s="239"/>
      <c r="I10" s="240" t="str">
        <f>报关资料录入!K14</f>
        <v>FOB</v>
      </c>
      <c r="J10" s="241"/>
    </row>
    <row r="11" s="119" customFormat="1" ht="20" customHeight="1" spans="2:16">
      <c r="B11" s="242" t="s">
        <v>111</v>
      </c>
      <c r="C11" s="148"/>
      <c r="D11" s="149"/>
      <c r="E11" s="150"/>
      <c r="F11" s="151"/>
      <c r="G11" s="243"/>
      <c r="H11" s="152" t="s">
        <v>112</v>
      </c>
      <c r="I11" s="152"/>
      <c r="J11" s="244"/>
      <c r="O11" s="120"/>
      <c r="P11" s="120"/>
    </row>
    <row r="12" ht="5" customHeight="1" spans="2:16">
      <c r="B12" s="242"/>
      <c r="C12" s="148"/>
      <c r="D12" s="154"/>
      <c r="E12" s="155"/>
      <c r="F12" s="156"/>
      <c r="G12" s="245"/>
      <c r="H12" s="157"/>
      <c r="I12" s="158"/>
      <c r="J12" s="246"/>
    </row>
    <row r="13" ht="15" spans="2:16">
      <c r="B13" s="247" t="s">
        <v>113</v>
      </c>
      <c r="C13" s="248" t="s">
        <v>114</v>
      </c>
      <c r="D13" s="249"/>
      <c r="E13" s="250"/>
      <c r="F13" s="247" t="s">
        <v>124</v>
      </c>
      <c r="G13" s="247"/>
      <c r="H13" s="247" t="s">
        <v>125</v>
      </c>
      <c r="I13" s="248" t="s">
        <v>126</v>
      </c>
      <c r="J13" s="250"/>
    </row>
    <row r="14" ht="15" spans="2:16">
      <c r="B14" s="170"/>
      <c r="C14" s="167"/>
      <c r="D14" s="168"/>
      <c r="E14" s="169"/>
      <c r="F14" s="170"/>
      <c r="G14" s="170"/>
      <c r="H14" s="170"/>
      <c r="I14" s="167"/>
      <c r="J14" s="169"/>
    </row>
    <row r="15" ht="26" customHeight="1" spans="2:16">
      <c r="B15" s="251">
        <f>报关资料录入!B21</f>
        <v>1</v>
      </c>
      <c r="C15" s="252">
        <f>报关资料录入!E21</f>
        <v>0</v>
      </c>
      <c r="D15" s="252"/>
      <c r="E15" s="252"/>
      <c r="F15" s="253">
        <f>报关资料录入!J21</f>
        <v>1</v>
      </c>
      <c r="G15" s="252" t="str">
        <f>报关资料录入!K21</f>
        <v>个</v>
      </c>
      <c r="H15" s="254">
        <f>报关资料录入!L21</f>
        <v>0</v>
      </c>
      <c r="I15" s="255" t="str">
        <f>报关资料录入!K15</f>
        <v>USD</v>
      </c>
      <c r="J15" s="256">
        <f>H15*F15</f>
        <v>0</v>
      </c>
    </row>
    <row r="16" ht="26" customHeight="1" spans="2:16">
      <c r="B16" s="251">
        <f>报关资料录入!B23</f>
        <v>2</v>
      </c>
      <c r="C16" s="252">
        <f>报关资料录入!E23</f>
        <v>0</v>
      </c>
      <c r="D16" s="252"/>
      <c r="E16" s="252"/>
      <c r="F16" s="253">
        <f>报关资料录入!J23</f>
        <v>1</v>
      </c>
      <c r="G16" s="252" t="str">
        <f>报关资料录入!K23</f>
        <v>个</v>
      </c>
      <c r="H16" s="254">
        <f>报关资料录入!L23</f>
        <v>0</v>
      </c>
      <c r="I16" s="255" t="s">
        <v>51</v>
      </c>
      <c r="J16" s="256">
        <f t="shared" ref="J16:J44" si="0">H16*F16</f>
        <v>0</v>
      </c>
    </row>
    <row r="17" ht="26" customHeight="1" spans="2:10">
      <c r="B17" s="251">
        <f>报关资料录入!B25</f>
        <v>3</v>
      </c>
      <c r="C17" s="252">
        <f>报关资料录入!E25</f>
        <v>0</v>
      </c>
      <c r="D17" s="252"/>
      <c r="E17" s="252"/>
      <c r="F17" s="253">
        <f>报关资料录入!J25</f>
        <v>1</v>
      </c>
      <c r="G17" s="252" t="str">
        <f>报关资料录入!K25</f>
        <v>个</v>
      </c>
      <c r="H17" s="254">
        <f>报关资料录入!L25</f>
        <v>0</v>
      </c>
      <c r="I17" s="255" t="s">
        <v>51</v>
      </c>
      <c r="J17" s="256">
        <f t="shared" si="0"/>
        <v>0</v>
      </c>
    </row>
    <row r="18" ht="26" customHeight="1" spans="2:10">
      <c r="B18" s="251">
        <f>报关资料录入!B27</f>
        <v>4</v>
      </c>
      <c r="C18" s="252">
        <f>报关资料录入!E27</f>
        <v>0</v>
      </c>
      <c r="D18" s="252"/>
      <c r="E18" s="252"/>
      <c r="F18" s="253">
        <f>报关资料录入!J27</f>
        <v>1</v>
      </c>
      <c r="G18" s="252" t="str">
        <f>报关资料录入!K27</f>
        <v>个</v>
      </c>
      <c r="H18" s="254">
        <f>报关资料录入!L27</f>
        <v>0</v>
      </c>
      <c r="I18" s="255" t="s">
        <v>51</v>
      </c>
      <c r="J18" s="256">
        <f t="shared" si="0"/>
        <v>0</v>
      </c>
    </row>
    <row r="19" ht="26" customHeight="1" spans="2:10">
      <c r="B19" s="251">
        <f>报关资料录入!B29</f>
        <v>5</v>
      </c>
      <c r="C19" s="252">
        <f>报关资料录入!E29</f>
        <v>0</v>
      </c>
      <c r="D19" s="252"/>
      <c r="E19" s="252"/>
      <c r="F19" s="253">
        <f>报关资料录入!J29</f>
        <v>1</v>
      </c>
      <c r="G19" s="252" t="str">
        <f>报关资料录入!K29</f>
        <v>个</v>
      </c>
      <c r="H19" s="254">
        <f>报关资料录入!L29</f>
        <v>0</v>
      </c>
      <c r="I19" s="255" t="s">
        <v>51</v>
      </c>
      <c r="J19" s="256">
        <f t="shared" si="0"/>
        <v>0</v>
      </c>
    </row>
    <row r="20" ht="26" customHeight="1" spans="2:10">
      <c r="B20" s="251">
        <f>报关资料录入!B31</f>
        <v>6</v>
      </c>
      <c r="C20" s="252">
        <f>报关资料录入!E31</f>
        <v>0</v>
      </c>
      <c r="D20" s="252"/>
      <c r="E20" s="252"/>
      <c r="F20" s="253">
        <f>报关资料录入!J31</f>
        <v>1</v>
      </c>
      <c r="G20" s="252" t="str">
        <f>报关资料录入!K31</f>
        <v>个</v>
      </c>
      <c r="H20" s="254">
        <f>报关资料录入!L31</f>
        <v>0</v>
      </c>
      <c r="I20" s="255" t="s">
        <v>51</v>
      </c>
      <c r="J20" s="256">
        <f t="shared" si="0"/>
        <v>0</v>
      </c>
    </row>
    <row r="21" ht="26" customHeight="1" spans="2:10">
      <c r="B21" s="251">
        <f>报关资料录入!B33</f>
        <v>7</v>
      </c>
      <c r="C21" s="252">
        <f>报关资料录入!E33</f>
        <v>0</v>
      </c>
      <c r="D21" s="252"/>
      <c r="E21" s="252"/>
      <c r="F21" s="253">
        <f>报关资料录入!J33</f>
        <v>1</v>
      </c>
      <c r="G21" s="252" t="str">
        <f>报关资料录入!K33</f>
        <v>个</v>
      </c>
      <c r="H21" s="254">
        <f>报关资料录入!L33</f>
        <v>0</v>
      </c>
      <c r="I21" s="255" t="s">
        <v>51</v>
      </c>
      <c r="J21" s="256">
        <f t="shared" si="0"/>
        <v>0</v>
      </c>
    </row>
    <row r="22" ht="26" customHeight="1" spans="2:10">
      <c r="B22" s="251">
        <f>报关资料录入!B35</f>
        <v>8</v>
      </c>
      <c r="C22" s="252">
        <f>报关资料录入!E35</f>
        <v>0</v>
      </c>
      <c r="D22" s="252"/>
      <c r="E22" s="252"/>
      <c r="F22" s="253">
        <f>报关资料录入!J35</f>
        <v>1</v>
      </c>
      <c r="G22" s="252" t="str">
        <f>报关资料录入!K35</f>
        <v>个</v>
      </c>
      <c r="H22" s="254">
        <f>报关资料录入!L35</f>
        <v>0</v>
      </c>
      <c r="I22" s="255" t="s">
        <v>51</v>
      </c>
      <c r="J22" s="256">
        <f t="shared" si="0"/>
        <v>0</v>
      </c>
    </row>
    <row r="23" ht="26" customHeight="1" spans="2:10">
      <c r="B23" s="251">
        <f>报关资料录入!B37</f>
        <v>9</v>
      </c>
      <c r="C23" s="252">
        <f>报关资料录入!E37</f>
        <v>0</v>
      </c>
      <c r="D23" s="252"/>
      <c r="E23" s="252"/>
      <c r="F23" s="253">
        <f>报关资料录入!J37</f>
        <v>1</v>
      </c>
      <c r="G23" s="252" t="str">
        <f>报关资料录入!K37</f>
        <v>个</v>
      </c>
      <c r="H23" s="254">
        <f>报关资料录入!L37</f>
        <v>0</v>
      </c>
      <c r="I23" s="255" t="s">
        <v>51</v>
      </c>
      <c r="J23" s="256">
        <f t="shared" si="0"/>
        <v>0</v>
      </c>
    </row>
    <row r="24" ht="26" customHeight="1" spans="2:10">
      <c r="B24" s="251">
        <f>报关资料录入!B39</f>
        <v>10</v>
      </c>
      <c r="C24" s="252">
        <f>报关资料录入!E39</f>
        <v>0</v>
      </c>
      <c r="D24" s="252"/>
      <c r="E24" s="252"/>
      <c r="F24" s="253">
        <f>报关资料录入!J39</f>
        <v>1</v>
      </c>
      <c r="G24" s="252" t="str">
        <f>报关资料录入!K39</f>
        <v>个</v>
      </c>
      <c r="H24" s="254">
        <f>报关资料录入!L39</f>
        <v>0</v>
      </c>
      <c r="I24" s="255" t="s">
        <v>51</v>
      </c>
      <c r="J24" s="256">
        <f t="shared" si="0"/>
        <v>0</v>
      </c>
    </row>
    <row r="25" ht="26" customHeight="1" spans="2:10">
      <c r="B25" s="251">
        <f>报关资料录入!B41</f>
        <v>11</v>
      </c>
      <c r="C25" s="252">
        <f>报关资料录入!E41</f>
        <v>0</v>
      </c>
      <c r="D25" s="252"/>
      <c r="E25" s="252"/>
      <c r="F25" s="253">
        <f>报关资料录入!J41</f>
        <v>1</v>
      </c>
      <c r="G25" s="252" t="str">
        <f>报关资料录入!K41</f>
        <v>个</v>
      </c>
      <c r="H25" s="254">
        <f>报关资料录入!L41</f>
        <v>0</v>
      </c>
      <c r="I25" s="255" t="s">
        <v>51</v>
      </c>
      <c r="J25" s="256">
        <f t="shared" si="0"/>
        <v>0</v>
      </c>
    </row>
    <row r="26" ht="26" customHeight="1" spans="2:10">
      <c r="B26" s="251">
        <f>报关资料录入!B43</f>
        <v>12</v>
      </c>
      <c r="C26" s="252">
        <f>报关资料录入!E43</f>
        <v>0</v>
      </c>
      <c r="D26" s="252"/>
      <c r="E26" s="252"/>
      <c r="F26" s="253">
        <f>报关资料录入!J43</f>
        <v>1</v>
      </c>
      <c r="G26" s="252" t="str">
        <f>报关资料录入!K43</f>
        <v>个</v>
      </c>
      <c r="H26" s="254">
        <f>报关资料录入!L43</f>
        <v>0</v>
      </c>
      <c r="I26" s="255" t="s">
        <v>51</v>
      </c>
      <c r="J26" s="256">
        <f t="shared" si="0"/>
        <v>0</v>
      </c>
    </row>
    <row r="27" ht="26" customHeight="1" spans="2:10">
      <c r="B27" s="251">
        <f>报关资料录入!B45</f>
        <v>13</v>
      </c>
      <c r="C27" s="252">
        <f>报关资料录入!E45</f>
        <v>0</v>
      </c>
      <c r="D27" s="252"/>
      <c r="E27" s="252"/>
      <c r="F27" s="253">
        <f>报关资料录入!J45</f>
        <v>1</v>
      </c>
      <c r="G27" s="252" t="str">
        <f>报关资料录入!K45</f>
        <v>个</v>
      </c>
      <c r="H27" s="254">
        <f>报关资料录入!L45</f>
        <v>0</v>
      </c>
      <c r="I27" s="255" t="s">
        <v>51</v>
      </c>
      <c r="J27" s="256">
        <f t="shared" si="0"/>
        <v>0</v>
      </c>
    </row>
    <row r="28" ht="26" customHeight="1" spans="2:10">
      <c r="B28" s="251">
        <f>报关资料录入!B47</f>
        <v>14</v>
      </c>
      <c r="C28" s="252">
        <f>报关资料录入!E47</f>
        <v>0</v>
      </c>
      <c r="D28" s="252"/>
      <c r="E28" s="252"/>
      <c r="F28" s="253">
        <f>报关资料录入!J47</f>
        <v>1</v>
      </c>
      <c r="G28" s="252" t="str">
        <f>报关资料录入!K47</f>
        <v>个</v>
      </c>
      <c r="H28" s="254">
        <f>报关资料录入!L47</f>
        <v>0</v>
      </c>
      <c r="I28" s="255" t="s">
        <v>51</v>
      </c>
      <c r="J28" s="256">
        <f t="shared" si="0"/>
        <v>0</v>
      </c>
    </row>
    <row r="29" ht="26" customHeight="1" spans="2:10">
      <c r="B29" s="251">
        <f>报关资料录入!B49</f>
        <v>15</v>
      </c>
      <c r="C29" s="252">
        <f>报关资料录入!E49</f>
        <v>0</v>
      </c>
      <c r="D29" s="252"/>
      <c r="E29" s="252"/>
      <c r="F29" s="253">
        <f>报关资料录入!J49</f>
        <v>1</v>
      </c>
      <c r="G29" s="252" t="str">
        <f>报关资料录入!K49</f>
        <v>个</v>
      </c>
      <c r="H29" s="254">
        <f>报关资料录入!L49</f>
        <v>0</v>
      </c>
      <c r="I29" s="255" t="s">
        <v>51</v>
      </c>
      <c r="J29" s="256">
        <f t="shared" si="0"/>
        <v>0</v>
      </c>
    </row>
    <row r="30" ht="26" customHeight="1" spans="2:10">
      <c r="B30" s="251">
        <f>报关资料录入!B51</f>
        <v>16</v>
      </c>
      <c r="C30" s="252">
        <f>报关资料录入!E51</f>
        <v>0</v>
      </c>
      <c r="D30" s="252"/>
      <c r="E30" s="252"/>
      <c r="F30" s="253">
        <f>报关资料录入!J51</f>
        <v>1</v>
      </c>
      <c r="G30" s="252" t="str">
        <f>报关资料录入!K51</f>
        <v>个</v>
      </c>
      <c r="H30" s="254">
        <f>报关资料录入!L51</f>
        <v>0</v>
      </c>
      <c r="I30" s="255" t="s">
        <v>51</v>
      </c>
      <c r="J30" s="256">
        <f t="shared" si="0"/>
        <v>0</v>
      </c>
    </row>
    <row r="31" ht="26" customHeight="1" spans="2:10">
      <c r="B31" s="251">
        <f>报关资料录入!B53</f>
        <v>17</v>
      </c>
      <c r="C31" s="252">
        <f>报关资料录入!E53</f>
        <v>0</v>
      </c>
      <c r="D31" s="252"/>
      <c r="E31" s="252"/>
      <c r="F31" s="253">
        <f>报关资料录入!J53</f>
        <v>1</v>
      </c>
      <c r="G31" s="252" t="str">
        <f>报关资料录入!K53</f>
        <v>个</v>
      </c>
      <c r="H31" s="254">
        <f>报关资料录入!L53</f>
        <v>0</v>
      </c>
      <c r="I31" s="255" t="s">
        <v>51</v>
      </c>
      <c r="J31" s="256">
        <f t="shared" si="0"/>
        <v>0</v>
      </c>
    </row>
    <row r="32" ht="26" customHeight="1" spans="2:10">
      <c r="B32" s="251">
        <f>报关资料录入!B55</f>
        <v>18</v>
      </c>
      <c r="C32" s="252">
        <f>报关资料录入!E55</f>
        <v>0</v>
      </c>
      <c r="D32" s="252"/>
      <c r="E32" s="252"/>
      <c r="F32" s="253">
        <f>报关资料录入!J55</f>
        <v>1</v>
      </c>
      <c r="G32" s="252" t="str">
        <f>报关资料录入!K55</f>
        <v>个</v>
      </c>
      <c r="H32" s="254">
        <f>报关资料录入!L55</f>
        <v>0</v>
      </c>
      <c r="I32" s="255" t="s">
        <v>51</v>
      </c>
      <c r="J32" s="256">
        <f t="shared" si="0"/>
        <v>0</v>
      </c>
    </row>
    <row r="33" ht="26" customHeight="1" spans="2:10">
      <c r="B33" s="251">
        <f>报关资料录入!B57</f>
        <v>19</v>
      </c>
      <c r="C33" s="252">
        <f>报关资料录入!E57</f>
        <v>0</v>
      </c>
      <c r="D33" s="252"/>
      <c r="E33" s="252"/>
      <c r="F33" s="253">
        <f>报关资料录入!J57</f>
        <v>1</v>
      </c>
      <c r="G33" s="252" t="str">
        <f>报关资料录入!K57</f>
        <v>个</v>
      </c>
      <c r="H33" s="254">
        <f>报关资料录入!L57</f>
        <v>0</v>
      </c>
      <c r="I33" s="255" t="s">
        <v>51</v>
      </c>
      <c r="J33" s="256">
        <f t="shared" si="0"/>
        <v>0</v>
      </c>
    </row>
    <row r="34" ht="26" customHeight="1" spans="2:10">
      <c r="B34" s="251">
        <f>报关资料录入!B59</f>
        <v>20</v>
      </c>
      <c r="C34" s="252">
        <f>报关资料录入!E59</f>
        <v>0</v>
      </c>
      <c r="D34" s="252"/>
      <c r="E34" s="252"/>
      <c r="F34" s="253">
        <f>报关资料录入!J59</f>
        <v>1</v>
      </c>
      <c r="G34" s="252" t="str">
        <f>报关资料录入!K59</f>
        <v>个</v>
      </c>
      <c r="H34" s="254">
        <f>报关资料录入!L59</f>
        <v>0</v>
      </c>
      <c r="I34" s="255" t="s">
        <v>51</v>
      </c>
      <c r="J34" s="256">
        <f t="shared" si="0"/>
        <v>0</v>
      </c>
    </row>
    <row r="35" ht="26" customHeight="1" spans="2:10">
      <c r="B35" s="251">
        <f>报关资料录入!B61</f>
        <v>21</v>
      </c>
      <c r="C35" s="252">
        <f>报关资料录入!E61</f>
        <v>0</v>
      </c>
      <c r="D35" s="252"/>
      <c r="E35" s="252"/>
      <c r="F35" s="253">
        <f>报关资料录入!J61</f>
        <v>1</v>
      </c>
      <c r="G35" s="252" t="str">
        <f>报关资料录入!K61</f>
        <v>个</v>
      </c>
      <c r="H35" s="254">
        <f>报关资料录入!L61</f>
        <v>0</v>
      </c>
      <c r="I35" s="255" t="s">
        <v>51</v>
      </c>
      <c r="J35" s="256">
        <f t="shared" si="0"/>
        <v>0</v>
      </c>
    </row>
    <row r="36" ht="26" customHeight="1" spans="2:10">
      <c r="B36" s="251">
        <f>报关资料录入!B63</f>
        <v>22</v>
      </c>
      <c r="C36" s="252">
        <f>报关资料录入!E63</f>
        <v>0</v>
      </c>
      <c r="D36" s="252"/>
      <c r="E36" s="252"/>
      <c r="F36" s="253">
        <f>报关资料录入!J63</f>
        <v>1</v>
      </c>
      <c r="G36" s="252" t="str">
        <f>报关资料录入!K63</f>
        <v>个</v>
      </c>
      <c r="H36" s="254">
        <f>报关资料录入!L63</f>
        <v>0</v>
      </c>
      <c r="I36" s="255" t="s">
        <v>51</v>
      </c>
      <c r="J36" s="256">
        <f t="shared" si="0"/>
        <v>0</v>
      </c>
    </row>
    <row r="37" ht="26" customHeight="1" spans="2:10">
      <c r="B37" s="251">
        <f>报关资料录入!B65</f>
        <v>23</v>
      </c>
      <c r="C37" s="252">
        <f>报关资料录入!E65</f>
        <v>0</v>
      </c>
      <c r="D37" s="252"/>
      <c r="E37" s="252"/>
      <c r="F37" s="253">
        <f>报关资料录入!J65</f>
        <v>1</v>
      </c>
      <c r="G37" s="252" t="str">
        <f>报关资料录入!K65</f>
        <v>个</v>
      </c>
      <c r="H37" s="254">
        <f>报关资料录入!L65</f>
        <v>0</v>
      </c>
      <c r="I37" s="255" t="s">
        <v>51</v>
      </c>
      <c r="J37" s="256">
        <f t="shared" si="0"/>
        <v>0</v>
      </c>
    </row>
    <row r="38" ht="26" customHeight="1" spans="2:10">
      <c r="B38" s="251">
        <f>报关资料录入!B67</f>
        <v>24</v>
      </c>
      <c r="C38" s="252">
        <f>报关资料录入!E67</f>
        <v>0</v>
      </c>
      <c r="D38" s="252"/>
      <c r="E38" s="252"/>
      <c r="F38" s="253">
        <f>报关资料录入!J67</f>
        <v>1</v>
      </c>
      <c r="G38" s="252">
        <f>报关资料录入!K66</f>
        <v>0</v>
      </c>
      <c r="H38" s="254">
        <f>报关资料录入!L67</f>
        <v>0</v>
      </c>
      <c r="I38" s="255" t="s">
        <v>51</v>
      </c>
      <c r="J38" s="256">
        <f t="shared" si="0"/>
        <v>0</v>
      </c>
    </row>
    <row r="39" ht="26" customHeight="1" spans="2:10">
      <c r="B39" s="251">
        <f>报关资料录入!B69</f>
        <v>25</v>
      </c>
      <c r="C39" s="252">
        <f>报关资料录入!E69</f>
        <v>0</v>
      </c>
      <c r="D39" s="252"/>
      <c r="E39" s="252"/>
      <c r="F39" s="253">
        <f>报关资料录入!J69</f>
        <v>1</v>
      </c>
      <c r="G39" s="252" t="str">
        <f>报关资料录入!K67</f>
        <v>个</v>
      </c>
      <c r="H39" s="254">
        <f>报关资料录入!L69</f>
        <v>0</v>
      </c>
      <c r="I39" s="255" t="s">
        <v>51</v>
      </c>
      <c r="J39" s="256">
        <f t="shared" si="0"/>
        <v>0</v>
      </c>
    </row>
    <row r="40" ht="26" customHeight="1" spans="2:10">
      <c r="B40" s="251">
        <f>报关资料录入!B71</f>
        <v>26</v>
      </c>
      <c r="C40" s="252">
        <f>报关资料录入!E71</f>
        <v>0</v>
      </c>
      <c r="D40" s="252"/>
      <c r="E40" s="252"/>
      <c r="F40" s="253">
        <f>报关资料录入!J71</f>
        <v>1</v>
      </c>
      <c r="G40" s="252">
        <f>报关资料录入!K68</f>
        <v>0</v>
      </c>
      <c r="H40" s="254">
        <f>报关资料录入!L71</f>
        <v>0</v>
      </c>
      <c r="I40" s="255" t="s">
        <v>51</v>
      </c>
      <c r="J40" s="256">
        <f t="shared" si="0"/>
        <v>0</v>
      </c>
    </row>
    <row r="41" ht="26" customHeight="1" spans="2:10">
      <c r="B41" s="251">
        <f>报关资料录入!B73</f>
        <v>27</v>
      </c>
      <c r="C41" s="252">
        <f>报关资料录入!E73</f>
        <v>0</v>
      </c>
      <c r="D41" s="252"/>
      <c r="E41" s="252"/>
      <c r="F41" s="253">
        <f>报关资料录入!J73</f>
        <v>1</v>
      </c>
      <c r="G41" s="252" t="str">
        <f>报关资料录入!K69</f>
        <v>个</v>
      </c>
      <c r="H41" s="254">
        <f>报关资料录入!L73</f>
        <v>0</v>
      </c>
      <c r="I41" s="255" t="s">
        <v>51</v>
      </c>
      <c r="J41" s="256">
        <f t="shared" si="0"/>
        <v>0</v>
      </c>
    </row>
    <row r="42" ht="26" customHeight="1" spans="2:10">
      <c r="B42" s="251">
        <f>报关资料录入!B75</f>
        <v>28</v>
      </c>
      <c r="C42" s="252">
        <f>报关资料录入!E75</f>
        <v>0</v>
      </c>
      <c r="D42" s="252"/>
      <c r="E42" s="252"/>
      <c r="F42" s="253">
        <f>报关资料录入!J75</f>
        <v>1</v>
      </c>
      <c r="G42" s="252">
        <f>报关资料录入!K70</f>
        <v>0</v>
      </c>
      <c r="H42" s="254">
        <f>报关资料录入!L75</f>
        <v>0</v>
      </c>
      <c r="I42" s="255" t="s">
        <v>51</v>
      </c>
      <c r="J42" s="256">
        <f t="shared" si="0"/>
        <v>0</v>
      </c>
    </row>
    <row r="43" ht="26" customHeight="1" spans="2:10">
      <c r="B43" s="251">
        <f>报关资料录入!B77</f>
        <v>29</v>
      </c>
      <c r="C43" s="252">
        <f>报关资料录入!E77</f>
        <v>0</v>
      </c>
      <c r="D43" s="252"/>
      <c r="E43" s="252"/>
      <c r="F43" s="253">
        <f>报关资料录入!J77</f>
        <v>1</v>
      </c>
      <c r="G43" s="252" t="str">
        <f>报关资料录入!K71</f>
        <v>个</v>
      </c>
      <c r="H43" s="254">
        <f>报关资料录入!L77</f>
        <v>0</v>
      </c>
      <c r="I43" s="255" t="s">
        <v>51</v>
      </c>
      <c r="J43" s="256">
        <f t="shared" si="0"/>
        <v>0</v>
      </c>
    </row>
    <row r="44" ht="26" customHeight="1" spans="2:10">
      <c r="B44" s="251">
        <f>报关资料录入!B79</f>
        <v>30</v>
      </c>
      <c r="C44" s="252">
        <f>报关资料录入!E79</f>
        <v>0</v>
      </c>
      <c r="D44" s="252"/>
      <c r="E44" s="252"/>
      <c r="F44" s="253">
        <f>报关资料录入!J79</f>
        <v>1</v>
      </c>
      <c r="G44" s="252">
        <f>报关资料录入!K72</f>
        <v>0</v>
      </c>
      <c r="H44" s="254">
        <f>报关资料录入!L79</f>
        <v>0</v>
      </c>
      <c r="I44" s="255" t="s">
        <v>51</v>
      </c>
      <c r="J44" s="256">
        <f t="shared" si="0"/>
        <v>0</v>
      </c>
    </row>
    <row r="45" ht="17" customHeight="1" spans="2:10">
      <c r="B45" s="257" t="str">
        <f>"合计"&amp;报关单!K22&amp;":"</f>
        <v>合计美元 :</v>
      </c>
      <c r="C45" s="258"/>
      <c r="D45" s="259" t="str">
        <f>IF(J45="","",IF(INT(J45)-J45=0,TEXT(INT(J45),"[dbnum2]")&amp;"元整",IF(INT(J45*100)-INT(J45*10)*10=0,TEXT(INT(J45),"[dbnum2]")&amp;"元"&amp;TEXT(MID(J45,SEARCHB(".",J45,1)+1,1),"[dbnum2]")&amp;"角整",IF(INT(J45*10)-INT(J45)*10=0,TEXT(INT(J45),"[dbnum2]")&amp;"元"&amp;"零"&amp;TEXT(MID(J45,SEARCHB(".",J45,1)+2,1),"[dbnum2]")&amp;"分",TEXT(INT(J45),"[dbnum2]")&amp;"元"&amp;TEXT(MID(J45,SEARCHB(".",J45,1)+1,1),"[dbnum2]")&amp;"角"&amp;TEXT(MID(J45,SEARCHB(".",J45,1)+2,1),"[dbnum2]")&amp;"分"))))</f>
        <v>零元整</v>
      </c>
      <c r="E45" s="259"/>
      <c r="F45" s="260"/>
      <c r="G45" s="258"/>
      <c r="H45" s="261" t="s">
        <v>127</v>
      </c>
      <c r="I45" s="262" t="str">
        <f>报关资料录入!K15</f>
        <v>USD</v>
      </c>
      <c r="J45" s="263">
        <f>SUM(J15:J44)</f>
        <v>0</v>
      </c>
    </row>
    <row r="46" ht="17" customHeight="1" spans="2:10">
      <c r="B46" s="264"/>
      <c r="C46" s="265"/>
      <c r="D46" s="266"/>
      <c r="E46" s="266"/>
      <c r="F46" s="267"/>
      <c r="G46" s="265"/>
      <c r="H46" s="268"/>
      <c r="I46" s="269"/>
      <c r="J46" s="270"/>
    </row>
    <row r="47" ht="15" customHeight="1"/>
    <row r="48" ht="13" customHeight="1" spans="2:10">
      <c r="B48" s="271" t="s">
        <v>120</v>
      </c>
      <c r="C48" s="156"/>
    </row>
    <row r="49" ht="6" customHeight="1" spans="2:4">
      <c r="B49" s="272"/>
      <c r="C49" s="272"/>
      <c r="D49" s="272"/>
    </row>
    <row r="50" spans="2:4">
      <c r="B50" s="273" t="str">
        <f>报关资料录入!H16</f>
        <v>N/M</v>
      </c>
      <c r="C50" s="273"/>
      <c r="D50" s="273"/>
    </row>
    <row r="51" spans="2:4">
      <c r="B51" s="273"/>
      <c r="C51" s="273"/>
      <c r="D51" s="273"/>
    </row>
    <row r="52" spans="2:4">
      <c r="B52" s="273"/>
      <c r="C52" s="273"/>
      <c r="D52" s="273"/>
    </row>
    <row r="53" spans="2:4">
      <c r="B53" s="272"/>
      <c r="C53" s="272"/>
      <c r="D53" s="272"/>
    </row>
  </sheetData>
  <sheetProtection selectLockedCells="1"/>
  <mergeCells count="57">
    <mergeCell ref="B2:J2"/>
    <mergeCell ref="B3:J3"/>
    <mergeCell ref="B4:J4"/>
    <mergeCell ref="B5:J5"/>
    <mergeCell ref="B6:J6"/>
    <mergeCell ref="B7:C7"/>
    <mergeCell ref="D7:F7"/>
    <mergeCell ref="G7:H7"/>
    <mergeCell ref="I7:J7"/>
    <mergeCell ref="B10:C10"/>
    <mergeCell ref="D10:E10"/>
    <mergeCell ref="G10:H10"/>
    <mergeCell ref="I10:J10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B13:B14"/>
    <mergeCell ref="H13:H14"/>
    <mergeCell ref="H45:H46"/>
    <mergeCell ref="I45:I46"/>
    <mergeCell ref="J45:J46"/>
    <mergeCell ref="G8:H9"/>
    <mergeCell ref="I8:J9"/>
    <mergeCell ref="I13:J14"/>
    <mergeCell ref="F13:G14"/>
    <mergeCell ref="C13:E14"/>
    <mergeCell ref="B8:C9"/>
    <mergeCell ref="D8:F9"/>
    <mergeCell ref="B45:C46"/>
    <mergeCell ref="B50:D52"/>
  </mergeCells>
  <dataValidations count="1">
    <dataValidation allowBlank="1" showInputMessage="1" showErrorMessage="1" sqref="B6:J6" errorStyle="information"/>
  </dataValidations>
  <pageMargins left="0.75" right="0.75" top="1" bottom="1" header="0.5" footer="0.5"/>
  <pageSetup paperSize="9" scale="52" orientation="portrait" horizontalDpi="300" verticalDpi="300"/>
  <headerFooter alignWithMargins="0" scaleWithDoc="0"/>
  <rowBreaks count="1" manualBreakCount="1">
    <brk id="52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43"/>
    <pageSetUpPr autoPageBreaks="0"/>
  </sheetPr>
  <dimension ref="B1:O72"/>
  <sheetViews>
    <sheetView showGridLines="0" showZeros="0" view="pageBreakPreview" zoomScale="70" zoomScaleNormal="100" topLeftCell="A23" workbookViewId="0">
      <selection activeCell="D7" sqref="D7"/>
    </sheetView>
  </sheetViews>
  <sheetFormatPr defaultColWidth="9" defaultRowHeight="16.5"/>
  <cols>
    <col min="1" max="1" width="2.58333333333333" style="120" customWidth="1"/>
    <col min="2" max="2" width="7.08333333333333" style="121" customWidth="1"/>
    <col min="3" max="3" width="6.33333333333333" style="121" customWidth="1"/>
    <col min="4" max="4" width="15.3333333333333" style="121" customWidth="1"/>
    <col min="5" max="5" width="11.75" style="121" customWidth="1"/>
    <col min="6" max="6" width="9.83333333333333" style="121" customWidth="1"/>
    <col min="7" max="7" width="5.5" style="121" customWidth="1"/>
    <col min="8" max="8" width="13.0333333333333" style="121" customWidth="1"/>
    <col min="9" max="9" width="8.925" style="121" customWidth="1"/>
    <col min="10" max="10" width="14.25" style="122" customWidth="1"/>
    <col min="11" max="16384" width="9" style="120"/>
  </cols>
  <sheetData>
    <row r="1" ht="10" customHeight="1" spans="2:15">
      <c r="B1" s="123"/>
      <c r="C1" s="123"/>
      <c r="D1" s="123"/>
      <c r="E1" s="123"/>
      <c r="F1" s="123"/>
      <c r="G1" s="123"/>
      <c r="H1" s="123"/>
      <c r="I1" s="123"/>
      <c r="J1" s="123"/>
    </row>
    <row r="2" s="118" customFormat="1" ht="24" customHeight="1" spans="2:15">
      <c r="B2" s="124" t="s">
        <v>128</v>
      </c>
      <c r="C2" s="124"/>
      <c r="D2" s="124"/>
      <c r="E2" s="124"/>
      <c r="F2" s="124"/>
      <c r="G2" s="124"/>
      <c r="H2" s="124"/>
      <c r="I2" s="124"/>
      <c r="J2" s="124"/>
    </row>
    <row r="3" ht="19" spans="2:15">
      <c r="B3" s="125" t="s">
        <v>129</v>
      </c>
      <c r="C3" s="125"/>
      <c r="D3" s="125"/>
      <c r="E3" s="125"/>
      <c r="F3" s="125"/>
      <c r="G3" s="125"/>
      <c r="H3" s="125"/>
      <c r="I3" s="125"/>
      <c r="J3" s="125"/>
    </row>
    <row r="4" ht="6" customHeight="1" spans="2:15">
      <c r="B4" s="125"/>
      <c r="C4" s="125"/>
      <c r="D4" s="125"/>
      <c r="E4" s="125"/>
      <c r="F4" s="125"/>
      <c r="G4" s="125"/>
      <c r="H4" s="125"/>
      <c r="I4" s="125"/>
      <c r="J4" s="125"/>
    </row>
    <row r="5" ht="15" customHeight="1" spans="2:15">
      <c r="B5" s="126" t="s">
        <v>130</v>
      </c>
      <c r="C5" s="126"/>
      <c r="D5" s="127" t="str">
        <f>报关资料录入!E4</f>
        <v>深圳市沐星科技有限公司</v>
      </c>
      <c r="E5" s="127"/>
      <c r="F5" s="127"/>
      <c r="G5" s="127"/>
      <c r="H5" s="128"/>
      <c r="I5" s="129" t="s">
        <v>131</v>
      </c>
      <c r="J5" s="130" t="str">
        <f>报关资料录入!K9</f>
        <v>HS-US-20260312</v>
      </c>
      <c r="K5" s="131"/>
      <c r="L5" s="131"/>
      <c r="M5" s="131"/>
      <c r="N5" s="131"/>
      <c r="O5" s="131"/>
    </row>
    <row r="6" ht="33" customHeight="1" spans="2:15">
      <c r="B6" s="126" t="s">
        <v>132</v>
      </c>
      <c r="C6" s="126"/>
      <c r="D6" s="132" t="str">
        <f>报关资料录入!E7</f>
        <v>深圳市龙岗区龙城街道黄阁坑社区吉祥里豪庭9栋铭德大厦A、B栋A座1010</v>
      </c>
      <c r="E6" s="132"/>
      <c r="F6" s="132"/>
      <c r="G6" s="132"/>
      <c r="H6" s="128"/>
      <c r="I6" s="133" t="s">
        <v>133</v>
      </c>
      <c r="J6" s="134"/>
      <c r="K6" s="131"/>
      <c r="L6" s="131"/>
      <c r="M6" s="131"/>
      <c r="N6" s="131"/>
      <c r="O6" s="131"/>
    </row>
    <row r="7" ht="15" customHeight="1" spans="2:15">
      <c r="B7" s="126" t="s">
        <v>134</v>
      </c>
      <c r="C7" s="126"/>
      <c r="D7" s="132"/>
      <c r="E7" s="135" t="s">
        <v>135</v>
      </c>
      <c r="F7" s="136"/>
      <c r="G7" s="136"/>
      <c r="H7" s="128"/>
      <c r="I7" s="129" t="s">
        <v>136</v>
      </c>
      <c r="J7" s="130">
        <f>报关资料录入!K10</f>
        <v>46093</v>
      </c>
      <c r="K7" s="131"/>
      <c r="L7" s="131"/>
      <c r="M7" s="131"/>
      <c r="N7" s="131"/>
      <c r="O7" s="131"/>
    </row>
    <row r="8" ht="15" customHeight="1" spans="2:15">
      <c r="B8" s="137"/>
      <c r="C8" s="137"/>
      <c r="D8" s="137"/>
      <c r="E8" s="137"/>
      <c r="F8" s="137"/>
      <c r="G8" s="137"/>
      <c r="H8" s="137"/>
      <c r="I8" s="138" t="s">
        <v>137</v>
      </c>
      <c r="J8" s="134"/>
      <c r="K8" s="131"/>
      <c r="L8" s="131"/>
      <c r="M8" s="131"/>
      <c r="N8" s="131"/>
      <c r="O8" s="131"/>
    </row>
    <row r="9" ht="32" customHeight="1" spans="2:15">
      <c r="B9" s="126" t="s">
        <v>138</v>
      </c>
      <c r="C9" s="126"/>
      <c r="D9" s="127" t="str">
        <f>报关资料录入!H4</f>
        <v>HONG KONG HENGSHUO INTELLIGENT TECHNOLOGY CO., LIMITED</v>
      </c>
      <c r="E9" s="127"/>
      <c r="F9" s="127"/>
      <c r="G9" s="127"/>
      <c r="H9" s="128"/>
      <c r="I9" s="129" t="s">
        <v>139</v>
      </c>
      <c r="J9" s="130" t="str">
        <f>报关资料录入!K11</f>
        <v>深圳</v>
      </c>
      <c r="K9" s="131"/>
      <c r="L9" s="131"/>
      <c r="M9" s="131"/>
      <c r="N9" s="131"/>
      <c r="O9" s="131"/>
    </row>
    <row r="10" ht="15" customHeight="1" spans="2:15">
      <c r="B10" s="126" t="s">
        <v>132</v>
      </c>
      <c r="C10" s="126"/>
      <c r="D10" s="139" t="str">
        <f>报关资料录入!H5</f>
        <v>WORKSHOP 60, 3/F, BLOCK A, EAST SUN INDUSTRIAL CENTRE NO.16, SHING YIP STREET KL</v>
      </c>
      <c r="E10" s="139"/>
      <c r="F10" s="139"/>
      <c r="G10" s="139"/>
      <c r="H10" s="128"/>
      <c r="I10" s="133" t="s">
        <v>140</v>
      </c>
      <c r="J10" s="134"/>
      <c r="K10" s="131"/>
      <c r="L10" s="131"/>
      <c r="M10" s="131"/>
      <c r="N10" s="131"/>
      <c r="O10" s="131"/>
    </row>
    <row r="11" ht="11" customHeight="1" spans="2:15">
      <c r="B11" s="126"/>
      <c r="C11" s="126"/>
      <c r="D11" s="140"/>
      <c r="E11" s="140"/>
      <c r="F11" s="140"/>
      <c r="G11" s="140"/>
      <c r="H11" s="128"/>
      <c r="I11" s="133"/>
      <c r="J11" s="130"/>
      <c r="K11" s="131"/>
      <c r="L11" s="131"/>
      <c r="M11" s="131"/>
      <c r="N11" s="131"/>
      <c r="O11" s="131"/>
    </row>
    <row r="12" ht="15" customHeight="1" spans="2:15">
      <c r="B12" s="126" t="s">
        <v>134</v>
      </c>
      <c r="C12" s="126"/>
      <c r="D12" s="132"/>
      <c r="E12" s="135" t="s">
        <v>135</v>
      </c>
      <c r="F12" s="132"/>
      <c r="G12" s="132"/>
      <c r="H12" s="128"/>
      <c r="I12" s="128"/>
      <c r="J12" s="141"/>
      <c r="K12" s="131"/>
      <c r="L12" s="131"/>
      <c r="M12" s="131"/>
      <c r="N12" s="131"/>
      <c r="O12" s="131"/>
    </row>
    <row r="13" ht="9" customHeight="1" spans="2:15">
      <c r="B13" s="142"/>
      <c r="C13" s="142"/>
      <c r="D13" s="142"/>
      <c r="E13" s="142"/>
      <c r="F13" s="142"/>
      <c r="G13" s="142"/>
      <c r="H13" s="142"/>
      <c r="I13" s="142"/>
      <c r="J13" s="142"/>
      <c r="K13" s="131"/>
      <c r="L13" s="131"/>
      <c r="M13" s="131"/>
      <c r="N13" s="131"/>
      <c r="O13" s="131"/>
    </row>
    <row r="14" ht="12" customHeight="1" spans="2:15">
      <c r="B14" s="143" t="s">
        <v>141</v>
      </c>
      <c r="C14" s="144"/>
      <c r="D14" s="145"/>
      <c r="E14" s="146"/>
      <c r="F14" s="146"/>
      <c r="G14" s="146"/>
      <c r="H14" s="146"/>
      <c r="I14" s="146"/>
      <c r="J14" s="146"/>
    </row>
    <row r="15" s="119" customFormat="1" ht="12" customHeight="1" spans="2:15">
      <c r="B15" s="147" t="s">
        <v>142</v>
      </c>
      <c r="C15" s="148"/>
      <c r="D15" s="149"/>
      <c r="E15" s="150"/>
      <c r="F15" s="151"/>
      <c r="G15" s="151"/>
      <c r="H15" s="152"/>
      <c r="I15" s="152"/>
      <c r="J15" s="153"/>
    </row>
    <row r="16" ht="5" customHeight="1" spans="2:15">
      <c r="B16" s="147"/>
      <c r="C16" s="148"/>
      <c r="D16" s="154"/>
      <c r="E16" s="155"/>
      <c r="F16" s="156"/>
      <c r="G16" s="156"/>
      <c r="H16" s="157"/>
      <c r="I16" s="158"/>
      <c r="J16" s="159"/>
    </row>
    <row r="17" ht="15" spans="2:10">
      <c r="B17" s="160" t="s">
        <v>113</v>
      </c>
      <c r="C17" s="161" t="s">
        <v>143</v>
      </c>
      <c r="D17" s="162"/>
      <c r="E17" s="163"/>
      <c r="F17" s="164" t="s">
        <v>144</v>
      </c>
      <c r="G17" s="164"/>
      <c r="H17" s="164" t="s">
        <v>145</v>
      </c>
      <c r="I17" s="161" t="s">
        <v>146</v>
      </c>
      <c r="J17" s="165"/>
    </row>
    <row r="18" ht="15.75" spans="2:10">
      <c r="B18" s="166"/>
      <c r="C18" s="167"/>
      <c r="D18" s="168"/>
      <c r="E18" s="169"/>
      <c r="F18" s="170"/>
      <c r="G18" s="170"/>
      <c r="H18" s="170"/>
      <c r="I18" s="167"/>
      <c r="J18" s="171"/>
    </row>
    <row r="19" ht="26" customHeight="1" spans="2:10">
      <c r="B19" s="172">
        <f>报关资料录入!B21</f>
        <v>1</v>
      </c>
      <c r="C19" s="173">
        <f>报关资料录入!E21</f>
        <v>0</v>
      </c>
      <c r="D19" s="173"/>
      <c r="E19" s="173"/>
      <c r="F19" s="174">
        <f>报关资料录入!J21</f>
        <v>1</v>
      </c>
      <c r="G19" s="174" t="str">
        <f>报关资料录入!K21</f>
        <v>个</v>
      </c>
      <c r="H19" s="175">
        <f>报关资料录入!L21</f>
        <v>0</v>
      </c>
      <c r="I19" s="176" t="str">
        <f>报关资料录入!K15</f>
        <v>USD</v>
      </c>
      <c r="J19" s="177">
        <f>H19*F19</f>
        <v>0</v>
      </c>
    </row>
    <row r="20" ht="26" customHeight="1" spans="2:10">
      <c r="B20" s="178">
        <f>报关资料录入!B23</f>
        <v>2</v>
      </c>
      <c r="C20" s="179">
        <f>报关资料录入!E23</f>
        <v>0</v>
      </c>
      <c r="D20" s="179"/>
      <c r="E20" s="179"/>
      <c r="F20" s="180">
        <f>报关资料录入!J23</f>
        <v>1</v>
      </c>
      <c r="G20" s="180" t="str">
        <f>报关资料录入!K23</f>
        <v>个</v>
      </c>
      <c r="H20" s="181">
        <f>报关资料录入!L23</f>
        <v>0</v>
      </c>
      <c r="I20" s="182" t="str">
        <f t="shared" ref="I20:I31" si="0">I19</f>
        <v>USD</v>
      </c>
      <c r="J20" s="183">
        <f t="shared" ref="J20:J48" si="1">H20*F20</f>
        <v>0</v>
      </c>
    </row>
    <row r="21" ht="26" customHeight="1" spans="2:10">
      <c r="B21" s="178">
        <f>报关资料录入!B25</f>
        <v>3</v>
      </c>
      <c r="C21" s="179">
        <f>报关资料录入!E25</f>
        <v>0</v>
      </c>
      <c r="D21" s="179"/>
      <c r="E21" s="179"/>
      <c r="F21" s="180">
        <f>报关资料录入!J25</f>
        <v>1</v>
      </c>
      <c r="G21" s="180" t="str">
        <f>报关资料录入!K25</f>
        <v>个</v>
      </c>
      <c r="H21" s="184">
        <f>报关资料录入!L25</f>
        <v>0</v>
      </c>
      <c r="I21" s="185" t="str">
        <f t="shared" si="0"/>
        <v>USD</v>
      </c>
      <c r="J21" s="186">
        <f t="shared" si="1"/>
        <v>0</v>
      </c>
    </row>
    <row r="22" ht="26" customHeight="1" spans="2:10">
      <c r="B22" s="178">
        <f>报关资料录入!B27</f>
        <v>4</v>
      </c>
      <c r="C22" s="179">
        <f>报关资料录入!E27</f>
        <v>0</v>
      </c>
      <c r="D22" s="179"/>
      <c r="E22" s="179"/>
      <c r="F22" s="180">
        <f>报关资料录入!J27</f>
        <v>1</v>
      </c>
      <c r="G22" s="180" t="str">
        <f>报关资料录入!K27</f>
        <v>个</v>
      </c>
      <c r="H22" s="184">
        <f>报关资料录入!L27</f>
        <v>0</v>
      </c>
      <c r="I22" s="187" t="str">
        <f t="shared" si="0"/>
        <v>USD</v>
      </c>
      <c r="J22" s="188">
        <f t="shared" si="1"/>
        <v>0</v>
      </c>
    </row>
    <row r="23" ht="26" customHeight="1" spans="2:10">
      <c r="B23" s="178">
        <f>报关资料录入!B29</f>
        <v>5</v>
      </c>
      <c r="C23" s="179">
        <f>报关资料录入!E29</f>
        <v>0</v>
      </c>
      <c r="D23" s="179"/>
      <c r="E23" s="179"/>
      <c r="F23" s="180">
        <f>报关资料录入!J29</f>
        <v>1</v>
      </c>
      <c r="G23" s="180" t="str">
        <f>报关资料录入!K29</f>
        <v>个</v>
      </c>
      <c r="H23" s="181">
        <f>报关资料录入!L29</f>
        <v>0</v>
      </c>
      <c r="I23" s="189" t="str">
        <f t="shared" si="0"/>
        <v>USD</v>
      </c>
      <c r="J23" s="190">
        <f t="shared" si="1"/>
        <v>0</v>
      </c>
    </row>
    <row r="24" ht="26" customHeight="1" spans="2:10">
      <c r="B24" s="178">
        <f>报关资料录入!B31</f>
        <v>6</v>
      </c>
      <c r="C24" s="179">
        <f>报关资料录入!E31</f>
        <v>0</v>
      </c>
      <c r="D24" s="179"/>
      <c r="E24" s="179"/>
      <c r="F24" s="180">
        <f>报关资料录入!J31</f>
        <v>1</v>
      </c>
      <c r="G24" s="180" t="str">
        <f>报关资料录入!K31</f>
        <v>个</v>
      </c>
      <c r="H24" s="181">
        <f>报关资料录入!L31</f>
        <v>0</v>
      </c>
      <c r="I24" s="191" t="str">
        <f t="shared" si="0"/>
        <v>USD</v>
      </c>
      <c r="J24" s="192">
        <f t="shared" si="1"/>
        <v>0</v>
      </c>
    </row>
    <row r="25" ht="26" customHeight="1" spans="2:10">
      <c r="B25" s="178">
        <f>报关资料录入!B33</f>
        <v>7</v>
      </c>
      <c r="C25" s="179">
        <f>报关资料录入!E33</f>
        <v>0</v>
      </c>
      <c r="D25" s="179"/>
      <c r="E25" s="179"/>
      <c r="F25" s="180">
        <f>报关资料录入!J33</f>
        <v>1</v>
      </c>
      <c r="G25" s="180" t="str">
        <f>报关资料录入!K33</f>
        <v>个</v>
      </c>
      <c r="H25" s="181">
        <f>报关资料录入!L33</f>
        <v>0</v>
      </c>
      <c r="I25" s="182" t="str">
        <f t="shared" si="0"/>
        <v>USD</v>
      </c>
      <c r="J25" s="186">
        <f t="shared" si="1"/>
        <v>0</v>
      </c>
    </row>
    <row r="26" ht="26" customHeight="1" spans="2:10">
      <c r="B26" s="178">
        <f>报关资料录入!B35</f>
        <v>8</v>
      </c>
      <c r="C26" s="179">
        <f>报关资料录入!E35</f>
        <v>0</v>
      </c>
      <c r="D26" s="179"/>
      <c r="E26" s="179"/>
      <c r="F26" s="180">
        <f>报关资料录入!J35</f>
        <v>1</v>
      </c>
      <c r="G26" s="180" t="str">
        <f>报关资料录入!K35</f>
        <v>个</v>
      </c>
      <c r="H26" s="181">
        <f>报关资料录入!L35</f>
        <v>0</v>
      </c>
      <c r="I26" s="189" t="str">
        <f t="shared" si="0"/>
        <v>USD</v>
      </c>
      <c r="J26" s="186">
        <f t="shared" si="1"/>
        <v>0</v>
      </c>
    </row>
    <row r="27" ht="26" customHeight="1" spans="2:10">
      <c r="B27" s="178">
        <f>报关资料录入!B37</f>
        <v>9</v>
      </c>
      <c r="C27" s="179">
        <f>报关资料录入!E37</f>
        <v>0</v>
      </c>
      <c r="D27" s="179"/>
      <c r="E27" s="179"/>
      <c r="F27" s="180">
        <f>报关资料录入!J37</f>
        <v>1</v>
      </c>
      <c r="G27" s="180" t="str">
        <f>报关资料录入!K37</f>
        <v>个</v>
      </c>
      <c r="H27" s="181">
        <f>报关资料录入!L37</f>
        <v>0</v>
      </c>
      <c r="I27" s="189" t="str">
        <f t="shared" si="0"/>
        <v>USD</v>
      </c>
      <c r="J27" s="192">
        <f t="shared" si="1"/>
        <v>0</v>
      </c>
    </row>
    <row r="28" ht="26" customHeight="1" spans="2:10">
      <c r="B28" s="178">
        <f>报关资料录入!B39</f>
        <v>10</v>
      </c>
      <c r="C28" s="179">
        <f>报关资料录入!E39</f>
        <v>0</v>
      </c>
      <c r="D28" s="179"/>
      <c r="E28" s="179"/>
      <c r="F28" s="180">
        <f>报关资料录入!J39</f>
        <v>1</v>
      </c>
      <c r="G28" s="180" t="str">
        <f>报关资料录入!K39</f>
        <v>个</v>
      </c>
      <c r="H28" s="181">
        <f>报关资料录入!L39</f>
        <v>0</v>
      </c>
      <c r="I28" s="191" t="str">
        <f t="shared" si="0"/>
        <v>USD</v>
      </c>
      <c r="J28" s="181">
        <f t="shared" si="1"/>
        <v>0</v>
      </c>
    </row>
    <row r="29" ht="26" customHeight="1" spans="2:10">
      <c r="B29" s="178">
        <f>报关资料录入!B41</f>
        <v>11</v>
      </c>
      <c r="C29" s="179">
        <f>报关资料录入!E41</f>
        <v>0</v>
      </c>
      <c r="D29" s="179"/>
      <c r="E29" s="179"/>
      <c r="F29" s="180">
        <f>报关资料录入!J41</f>
        <v>1</v>
      </c>
      <c r="G29" s="180" t="str">
        <f>报关资料录入!K41</f>
        <v>个</v>
      </c>
      <c r="H29" s="181">
        <f>报关资料录入!L41</f>
        <v>0</v>
      </c>
      <c r="I29" s="189" t="str">
        <f t="shared" si="0"/>
        <v>USD</v>
      </c>
      <c r="J29" s="181">
        <f t="shared" si="1"/>
        <v>0</v>
      </c>
    </row>
    <row r="30" ht="26" customHeight="1" spans="2:10">
      <c r="B30" s="178">
        <f>报关资料录入!B43</f>
        <v>12</v>
      </c>
      <c r="C30" s="179">
        <f>报关资料录入!E43</f>
        <v>0</v>
      </c>
      <c r="D30" s="179"/>
      <c r="E30" s="179"/>
      <c r="F30" s="180">
        <f>报关资料录入!J43</f>
        <v>1</v>
      </c>
      <c r="G30" s="180" t="str">
        <f>报关资料录入!K43</f>
        <v>个</v>
      </c>
      <c r="H30" s="181">
        <f>报关资料录入!L43</f>
        <v>0</v>
      </c>
      <c r="I30" s="189" t="str">
        <f t="shared" si="0"/>
        <v>USD</v>
      </c>
      <c r="J30" s="181">
        <f t="shared" si="1"/>
        <v>0</v>
      </c>
    </row>
    <row r="31" ht="26" customHeight="1" spans="2:10">
      <c r="B31" s="178">
        <f>报关资料录入!B45</f>
        <v>13</v>
      </c>
      <c r="C31" s="179">
        <f>报关资料录入!E45</f>
        <v>0</v>
      </c>
      <c r="D31" s="179"/>
      <c r="E31" s="179"/>
      <c r="F31" s="180">
        <f>报关资料录入!J45</f>
        <v>1</v>
      </c>
      <c r="G31" s="180" t="str">
        <f>报关资料录入!K45</f>
        <v>个</v>
      </c>
      <c r="H31" s="181">
        <f>报关资料录入!L45</f>
        <v>0</v>
      </c>
      <c r="I31" s="189" t="str">
        <f t="shared" si="0"/>
        <v>USD</v>
      </c>
      <c r="J31" s="181">
        <f t="shared" si="1"/>
        <v>0</v>
      </c>
    </row>
    <row r="32" ht="26" customHeight="1" spans="2:10">
      <c r="B32" s="178">
        <f>报关资料录入!B47</f>
        <v>14</v>
      </c>
      <c r="C32" s="179">
        <f>报关资料录入!E47</f>
        <v>0</v>
      </c>
      <c r="D32" s="179"/>
      <c r="E32" s="179"/>
      <c r="F32" s="180">
        <f>报关资料录入!J47</f>
        <v>1</v>
      </c>
      <c r="G32" s="180" t="str">
        <f>报关资料录入!K47</f>
        <v>个</v>
      </c>
      <c r="H32" s="181">
        <f>报关资料录入!L47</f>
        <v>0</v>
      </c>
      <c r="I32" s="193" t="str">
        <f t="shared" ref="I32:I48" si="2">I31</f>
        <v>USD</v>
      </c>
      <c r="J32" s="181">
        <f t="shared" si="1"/>
        <v>0</v>
      </c>
    </row>
    <row r="33" ht="26" customHeight="1" spans="2:10">
      <c r="B33" s="178">
        <f>报关资料录入!B49</f>
        <v>15</v>
      </c>
      <c r="C33" s="179">
        <f>报关资料录入!E49</f>
        <v>0</v>
      </c>
      <c r="D33" s="179"/>
      <c r="E33" s="179"/>
      <c r="F33" s="180">
        <f>报关资料录入!J49</f>
        <v>1</v>
      </c>
      <c r="G33" s="180" t="str">
        <f>报关资料录入!K49</f>
        <v>个</v>
      </c>
      <c r="H33" s="181">
        <f>报关资料录入!L49</f>
        <v>0</v>
      </c>
      <c r="I33" s="193" t="str">
        <f t="shared" si="2"/>
        <v>USD</v>
      </c>
      <c r="J33" s="181">
        <f t="shared" si="1"/>
        <v>0</v>
      </c>
    </row>
    <row r="34" ht="26" customHeight="1" spans="2:10">
      <c r="B34" s="178">
        <f>报关资料录入!B51</f>
        <v>16</v>
      </c>
      <c r="C34" s="179">
        <f>报关资料录入!E51</f>
        <v>0</v>
      </c>
      <c r="D34" s="179"/>
      <c r="E34" s="179"/>
      <c r="F34" s="180">
        <f>报关资料录入!J51</f>
        <v>1</v>
      </c>
      <c r="G34" s="180" t="str">
        <f>报关资料录入!K51</f>
        <v>个</v>
      </c>
      <c r="H34" s="181">
        <f>报关资料录入!L51</f>
        <v>0</v>
      </c>
      <c r="I34" s="193" t="str">
        <f t="shared" si="2"/>
        <v>USD</v>
      </c>
      <c r="J34" s="181">
        <f t="shared" si="1"/>
        <v>0</v>
      </c>
    </row>
    <row r="35" ht="26" customHeight="1" spans="2:10">
      <c r="B35" s="178">
        <f>报关资料录入!B53</f>
        <v>17</v>
      </c>
      <c r="C35" s="179">
        <f>报关资料录入!E53</f>
        <v>0</v>
      </c>
      <c r="D35" s="179"/>
      <c r="E35" s="179"/>
      <c r="F35" s="180">
        <f>报关资料录入!J53</f>
        <v>1</v>
      </c>
      <c r="G35" s="180" t="str">
        <f>报关资料录入!K53</f>
        <v>个</v>
      </c>
      <c r="H35" s="184">
        <f>报关资料录入!L53</f>
        <v>0</v>
      </c>
      <c r="I35" s="194" t="str">
        <f t="shared" si="2"/>
        <v>USD</v>
      </c>
      <c r="J35" s="181">
        <f t="shared" si="1"/>
        <v>0</v>
      </c>
    </row>
    <row r="36" ht="26" customHeight="1" spans="2:10">
      <c r="B36" s="178">
        <f>报关资料录入!B55</f>
        <v>18</v>
      </c>
      <c r="C36" s="179">
        <f>报关资料录入!E55</f>
        <v>0</v>
      </c>
      <c r="D36" s="179"/>
      <c r="E36" s="179"/>
      <c r="F36" s="180">
        <f>报关资料录入!J55</f>
        <v>1</v>
      </c>
      <c r="G36" s="180" t="str">
        <f>报关资料录入!K55</f>
        <v>个</v>
      </c>
      <c r="H36" s="184">
        <f>报关资料录入!L55</f>
        <v>0</v>
      </c>
      <c r="I36" s="194" t="str">
        <f t="shared" si="2"/>
        <v>USD</v>
      </c>
      <c r="J36" s="181">
        <f t="shared" si="1"/>
        <v>0</v>
      </c>
    </row>
    <row r="37" ht="26" customHeight="1" spans="2:10">
      <c r="B37" s="178">
        <f>报关资料录入!B57</f>
        <v>19</v>
      </c>
      <c r="C37" s="179">
        <f>报关资料录入!E57</f>
        <v>0</v>
      </c>
      <c r="D37" s="179"/>
      <c r="E37" s="179"/>
      <c r="F37" s="180">
        <f>报关资料录入!J57</f>
        <v>1</v>
      </c>
      <c r="G37" s="180" t="str">
        <f>报关资料录入!K57</f>
        <v>个</v>
      </c>
      <c r="H37" s="181">
        <f>报关资料录入!L57</f>
        <v>0</v>
      </c>
      <c r="I37" s="191" t="str">
        <f t="shared" si="2"/>
        <v>USD</v>
      </c>
      <c r="J37" s="181">
        <f t="shared" si="1"/>
        <v>0</v>
      </c>
    </row>
    <row r="38" ht="26" customHeight="1" spans="2:10">
      <c r="B38" s="178">
        <f>报关资料录入!B59</f>
        <v>20</v>
      </c>
      <c r="C38" s="179">
        <f>报关资料录入!E59</f>
        <v>0</v>
      </c>
      <c r="D38" s="179"/>
      <c r="E38" s="179"/>
      <c r="F38" s="180">
        <f>报关资料录入!J59</f>
        <v>1</v>
      </c>
      <c r="G38" s="180" t="str">
        <f>报关资料录入!K59</f>
        <v>个</v>
      </c>
      <c r="H38" s="181">
        <f>报关资料录入!L59</f>
        <v>0</v>
      </c>
      <c r="I38" s="189" t="str">
        <f t="shared" si="2"/>
        <v>USD</v>
      </c>
      <c r="J38" s="181">
        <f t="shared" si="1"/>
        <v>0</v>
      </c>
    </row>
    <row r="39" ht="26" customHeight="1" spans="2:10">
      <c r="B39" s="178">
        <f>报关资料录入!B61</f>
        <v>21</v>
      </c>
      <c r="C39" s="179">
        <f>报关资料录入!E61</f>
        <v>0</v>
      </c>
      <c r="D39" s="179"/>
      <c r="E39" s="179"/>
      <c r="F39" s="180">
        <f>报关资料录入!J61</f>
        <v>1</v>
      </c>
      <c r="G39" s="180" t="str">
        <f>报关资料录入!K61</f>
        <v>个</v>
      </c>
      <c r="H39" s="181">
        <f>报关资料录入!L61</f>
        <v>0</v>
      </c>
      <c r="I39" s="191" t="str">
        <f t="shared" si="2"/>
        <v>USD</v>
      </c>
      <c r="J39" s="181">
        <f t="shared" si="1"/>
        <v>0</v>
      </c>
    </row>
    <row r="40" ht="26" customHeight="1" spans="2:10">
      <c r="B40" s="178">
        <f>报关资料录入!B63</f>
        <v>22</v>
      </c>
      <c r="C40" s="179">
        <f>报关资料录入!E63</f>
        <v>0</v>
      </c>
      <c r="D40" s="179"/>
      <c r="E40" s="179"/>
      <c r="F40" s="180">
        <f>报关资料录入!J63</f>
        <v>1</v>
      </c>
      <c r="G40" s="180" t="str">
        <f>报关资料录入!K63</f>
        <v>个</v>
      </c>
      <c r="H40" s="184">
        <f>报关资料录入!L63</f>
        <v>0</v>
      </c>
      <c r="I40" s="194" t="str">
        <f t="shared" si="2"/>
        <v>USD</v>
      </c>
      <c r="J40" s="181">
        <f t="shared" si="1"/>
        <v>0</v>
      </c>
    </row>
    <row r="41" ht="26" customHeight="1" spans="2:10">
      <c r="B41" s="178">
        <f>报关资料录入!B65</f>
        <v>23</v>
      </c>
      <c r="C41" s="179">
        <f>报关资料录入!E65</f>
        <v>0</v>
      </c>
      <c r="D41" s="179"/>
      <c r="E41" s="179"/>
      <c r="F41" s="180">
        <f>报关资料录入!J65</f>
        <v>1</v>
      </c>
      <c r="G41" s="180" t="str">
        <f>报关资料录入!K65</f>
        <v>个</v>
      </c>
      <c r="H41" s="184">
        <f>报关资料录入!L65</f>
        <v>0</v>
      </c>
      <c r="I41" s="195" t="str">
        <f t="shared" si="2"/>
        <v>USD</v>
      </c>
      <c r="J41" s="181">
        <f t="shared" si="1"/>
        <v>0</v>
      </c>
    </row>
    <row r="42" ht="26" customHeight="1" spans="2:10">
      <c r="B42" s="178">
        <f>报关资料录入!B67</f>
        <v>24</v>
      </c>
      <c r="C42" s="179">
        <f>报关资料录入!E67</f>
        <v>0</v>
      </c>
      <c r="D42" s="179"/>
      <c r="E42" s="179"/>
      <c r="F42" s="180">
        <f>报关资料录入!J67</f>
        <v>1</v>
      </c>
      <c r="G42" s="180" t="str">
        <f>报关资料录入!K67</f>
        <v>个</v>
      </c>
      <c r="H42" s="184">
        <f>报关资料录入!L67</f>
        <v>0</v>
      </c>
      <c r="I42" s="194" t="str">
        <f t="shared" si="2"/>
        <v>USD</v>
      </c>
      <c r="J42" s="181">
        <f t="shared" si="1"/>
        <v>0</v>
      </c>
    </row>
    <row r="43" ht="26" customHeight="1" spans="2:10">
      <c r="B43" s="178">
        <f>报关资料录入!B69</f>
        <v>25</v>
      </c>
      <c r="C43" s="179">
        <f>报关资料录入!E69</f>
        <v>0</v>
      </c>
      <c r="D43" s="179"/>
      <c r="E43" s="179"/>
      <c r="F43" s="180">
        <f>报关资料录入!J69</f>
        <v>1</v>
      </c>
      <c r="G43" s="180" t="str">
        <f>报关资料录入!K69</f>
        <v>个</v>
      </c>
      <c r="H43" s="184">
        <f>报关资料录入!L69</f>
        <v>0</v>
      </c>
      <c r="I43" s="194" t="str">
        <f t="shared" si="2"/>
        <v>USD</v>
      </c>
      <c r="J43" s="181">
        <f t="shared" si="1"/>
        <v>0</v>
      </c>
    </row>
    <row r="44" ht="26" customHeight="1" spans="2:10">
      <c r="B44" s="178">
        <f>报关资料录入!B71</f>
        <v>26</v>
      </c>
      <c r="C44" s="179">
        <f>报关资料录入!E71</f>
        <v>0</v>
      </c>
      <c r="D44" s="179"/>
      <c r="E44" s="179"/>
      <c r="F44" s="180">
        <f>报关资料录入!J71</f>
        <v>1</v>
      </c>
      <c r="G44" s="180" t="str">
        <f>报关资料录入!K71</f>
        <v>个</v>
      </c>
      <c r="H44" s="184">
        <f>报关资料录入!L71</f>
        <v>0</v>
      </c>
      <c r="I44" s="194" t="str">
        <f t="shared" si="2"/>
        <v>USD</v>
      </c>
      <c r="J44" s="181">
        <f t="shared" si="1"/>
        <v>0</v>
      </c>
    </row>
    <row r="45" ht="26" customHeight="1" spans="2:10">
      <c r="B45" s="178">
        <f>报关资料录入!B73</f>
        <v>27</v>
      </c>
      <c r="C45" s="179">
        <f>报关资料录入!E73</f>
        <v>0</v>
      </c>
      <c r="D45" s="179"/>
      <c r="E45" s="179"/>
      <c r="F45" s="180">
        <f>报关资料录入!J73</f>
        <v>1</v>
      </c>
      <c r="G45" s="180" t="str">
        <f>报关资料录入!K73</f>
        <v>个</v>
      </c>
      <c r="H45" s="184">
        <f>报关资料录入!L73</f>
        <v>0</v>
      </c>
      <c r="I45" s="194" t="str">
        <f t="shared" si="2"/>
        <v>USD</v>
      </c>
      <c r="J45" s="181">
        <f t="shared" si="1"/>
        <v>0</v>
      </c>
    </row>
    <row r="46" ht="26" customHeight="1" spans="2:10">
      <c r="B46" s="178">
        <f>报关资料录入!B75</f>
        <v>28</v>
      </c>
      <c r="C46" s="179">
        <f>报关资料录入!E75</f>
        <v>0</v>
      </c>
      <c r="D46" s="179"/>
      <c r="E46" s="179"/>
      <c r="F46" s="180">
        <f>报关资料录入!J75</f>
        <v>1</v>
      </c>
      <c r="G46" s="180" t="str">
        <f>报关资料录入!K75</f>
        <v>个</v>
      </c>
      <c r="H46" s="184">
        <f>报关资料录入!L75</f>
        <v>0</v>
      </c>
      <c r="I46" s="194" t="str">
        <f t="shared" si="2"/>
        <v>USD</v>
      </c>
      <c r="J46" s="181">
        <f t="shared" si="1"/>
        <v>0</v>
      </c>
    </row>
    <row r="47" ht="26" customHeight="1" spans="2:10">
      <c r="B47" s="178">
        <f>报关资料录入!B77</f>
        <v>29</v>
      </c>
      <c r="C47" s="179">
        <f>报关资料录入!E77</f>
        <v>0</v>
      </c>
      <c r="D47" s="179"/>
      <c r="E47" s="179"/>
      <c r="F47" s="180">
        <f>报关资料录入!J77</f>
        <v>1</v>
      </c>
      <c r="G47" s="180" t="str">
        <f>报关资料录入!K77</f>
        <v>个</v>
      </c>
      <c r="H47" s="184">
        <f>报关资料录入!L77</f>
        <v>0</v>
      </c>
      <c r="I47" s="194" t="str">
        <f t="shared" si="2"/>
        <v>USD</v>
      </c>
      <c r="J47" s="181">
        <f t="shared" si="1"/>
        <v>0</v>
      </c>
    </row>
    <row r="48" ht="26" customHeight="1" spans="2:10">
      <c r="B48" s="178">
        <f>报关资料录入!B79</f>
        <v>30</v>
      </c>
      <c r="C48" s="179">
        <f>报关资料录入!E79</f>
        <v>0</v>
      </c>
      <c r="D48" s="179"/>
      <c r="E48" s="179"/>
      <c r="F48" s="180">
        <f>报关资料录入!J79</f>
        <v>1</v>
      </c>
      <c r="G48" s="180" t="str">
        <f>报关资料录入!K79</f>
        <v>个</v>
      </c>
      <c r="H48" s="184">
        <f>报关资料录入!L79</f>
        <v>0</v>
      </c>
      <c r="I48" s="194" t="str">
        <f t="shared" si="2"/>
        <v>USD</v>
      </c>
      <c r="J48" s="181">
        <f t="shared" si="1"/>
        <v>0</v>
      </c>
    </row>
    <row r="49" ht="13" customHeight="1" spans="2:10">
      <c r="B49" s="196" t="s">
        <v>127</v>
      </c>
      <c r="C49" s="197"/>
      <c r="D49" s="197"/>
      <c r="E49" s="197"/>
      <c r="F49" s="197"/>
      <c r="G49" s="197"/>
      <c r="H49" s="198"/>
      <c r="I49" s="199" t="str">
        <f>报关资料录入!K15</f>
        <v>USD</v>
      </c>
      <c r="J49" s="200">
        <f>SUM(J19:J48)</f>
        <v>0</v>
      </c>
    </row>
    <row r="50" ht="13" customHeight="1" spans="2:10">
      <c r="B50" s="201"/>
      <c r="C50" s="202"/>
      <c r="D50" s="202"/>
      <c r="E50" s="202"/>
      <c r="F50" s="202"/>
      <c r="G50" s="202"/>
      <c r="H50" s="203"/>
      <c r="I50" s="204"/>
      <c r="J50" s="205"/>
    </row>
    <row r="51" ht="13" customHeight="1" spans="2:10">
      <c r="B51" s="206" t="s">
        <v>147</v>
      </c>
      <c r="C51" s="207"/>
      <c r="D51" s="208"/>
      <c r="E51" s="209" t="str">
        <f>IF(J49="","",IF(INT(J49)-J49=0,TEXT(INT(J49),"[dbnum2]")&amp;"元整",IF(INT(J49*100)-INT(J49*10)*10=0,TEXT(INT(J49),"[dbnum2]")&amp;"元"&amp;TEXT(MID(J49,SEARCHB(".",J49,1)+1,1),"[dbnum2]")&amp;"角整",IF(INT(J49*10)-INT(J49)*10=0,TEXT(INT(J49),"[dbnum2]")&amp;"元"&amp;"零"&amp;TEXT(MID(J49,SEARCHB(".",J49,1)+2,1),"[dbnum2]")&amp;"分",TEXT(INT(J49),"[dbnum2]")&amp;"元"&amp;TEXT(MID(J49,SEARCHB(".",J49,1)+1,1),"[dbnum2]")&amp;"角"&amp;TEXT(MID(J49,SEARCHB(".",J49,1)+2,1),"[dbnum2]")&amp;"分"))))</f>
        <v>零元整</v>
      </c>
      <c r="F51" s="209"/>
      <c r="G51" s="209"/>
      <c r="H51" s="209"/>
      <c r="I51" s="209"/>
      <c r="J51" s="210"/>
    </row>
    <row r="52" ht="13" customHeight="1" spans="2:10">
      <c r="B52" s="211"/>
      <c r="C52" s="212"/>
      <c r="D52" s="213"/>
      <c r="E52" s="214"/>
      <c r="F52" s="214"/>
      <c r="G52" s="214"/>
      <c r="H52" s="214"/>
      <c r="I52" s="214"/>
      <c r="J52" s="215"/>
    </row>
    <row r="53" ht="6" customHeight="1" spans="2:10">
      <c r="B53" s="207"/>
      <c r="C53" s="207"/>
      <c r="D53" s="216"/>
      <c r="E53" s="216"/>
      <c r="F53" s="216"/>
      <c r="G53" s="216"/>
      <c r="H53" s="216"/>
      <c r="I53" s="216"/>
      <c r="J53" s="217"/>
    </row>
    <row r="54" ht="13" customHeight="1" spans="2:10">
      <c r="B54" s="156" t="s">
        <v>148</v>
      </c>
      <c r="C54" s="156"/>
      <c r="D54" s="156"/>
      <c r="E54" s="218"/>
      <c r="F54" s="218"/>
      <c r="G54" s="218"/>
      <c r="H54" s="218"/>
      <c r="I54" s="218"/>
      <c r="J54" s="219"/>
    </row>
    <row r="55" ht="13" customHeight="1" spans="2:10">
      <c r="B55" s="156" t="s">
        <v>149</v>
      </c>
      <c r="C55" s="156"/>
      <c r="D55" s="156"/>
      <c r="E55" s="218"/>
      <c r="F55" s="218"/>
      <c r="G55" s="218"/>
      <c r="H55" s="218"/>
      <c r="I55" s="218"/>
      <c r="J55" s="219"/>
    </row>
    <row r="56" ht="13" customHeight="1" spans="2:10">
      <c r="B56" s="156" t="s">
        <v>150</v>
      </c>
      <c r="C56" s="156"/>
      <c r="D56" s="220" t="str">
        <f>报关资料录入!K14&amp;报关资料录入!K11</f>
        <v>FOB深圳</v>
      </c>
      <c r="E56" s="218"/>
      <c r="F56" s="218"/>
      <c r="G56" s="218"/>
      <c r="H56" s="218"/>
      <c r="I56" s="218"/>
      <c r="J56" s="219"/>
    </row>
    <row r="57" ht="13" customHeight="1" spans="2:10">
      <c r="B57" s="156" t="s">
        <v>151</v>
      </c>
      <c r="C57" s="156"/>
      <c r="D57" s="156"/>
      <c r="E57" s="218"/>
      <c r="F57" s="218"/>
      <c r="G57" s="218"/>
      <c r="H57" s="218"/>
      <c r="I57" s="218"/>
      <c r="J57" s="219"/>
    </row>
    <row r="58" ht="13" customHeight="1" spans="2:10">
      <c r="B58" s="156" t="s">
        <v>152</v>
      </c>
      <c r="C58" s="156"/>
      <c r="D58" s="156"/>
      <c r="E58" s="218"/>
      <c r="F58" s="218"/>
      <c r="G58" s="218"/>
      <c r="H58" s="218"/>
      <c r="I58" s="218"/>
      <c r="J58" s="219"/>
    </row>
    <row r="59" ht="13" customHeight="1" spans="2:10">
      <c r="B59" s="156" t="s">
        <v>153</v>
      </c>
      <c r="C59" s="156"/>
      <c r="D59" s="156" t="s">
        <v>154</v>
      </c>
      <c r="E59" s="218"/>
      <c r="F59" s="218"/>
      <c r="G59" s="218"/>
      <c r="H59" s="218"/>
      <c r="I59" s="218"/>
      <c r="J59" s="219"/>
    </row>
    <row r="60" ht="13" customHeight="1" spans="2:10">
      <c r="B60" s="156" t="s">
        <v>155</v>
      </c>
      <c r="C60" s="156"/>
      <c r="D60" s="156"/>
      <c r="E60" s="218"/>
      <c r="F60" s="218"/>
      <c r="G60" s="218"/>
      <c r="H60" s="218"/>
      <c r="I60" s="218"/>
      <c r="J60" s="219"/>
    </row>
    <row r="61" ht="13" customHeight="1" spans="2:10">
      <c r="B61" s="218" t="s">
        <v>152</v>
      </c>
      <c r="C61" s="218"/>
      <c r="D61" s="218"/>
      <c r="E61" s="218"/>
      <c r="F61" s="218"/>
      <c r="G61" s="218"/>
      <c r="H61" s="218"/>
      <c r="I61" s="218"/>
      <c r="J61" s="219"/>
    </row>
    <row r="62" ht="13" customHeight="1" spans="2:10">
      <c r="B62" s="218" t="s">
        <v>156</v>
      </c>
      <c r="C62" s="218"/>
      <c r="D62" s="218"/>
      <c r="E62" s="221" t="str">
        <f>装箱单!D10</f>
        <v>由 深圳 至 美国</v>
      </c>
      <c r="F62" s="218"/>
      <c r="G62" s="218" t="s">
        <v>157</v>
      </c>
      <c r="H62" s="218"/>
      <c r="I62" s="218"/>
      <c r="J62" s="219"/>
    </row>
    <row r="63" ht="13" customHeight="1" spans="2:10">
      <c r="B63" s="218" t="s">
        <v>158</v>
      </c>
      <c r="C63" s="218"/>
      <c r="D63" s="218"/>
      <c r="E63" s="218"/>
      <c r="F63" s="218" t="s">
        <v>159</v>
      </c>
      <c r="H63" s="218"/>
      <c r="I63" s="218"/>
      <c r="J63" s="219"/>
    </row>
    <row r="64" ht="13" customHeight="1" spans="2:10">
      <c r="B64" s="218" t="s">
        <v>160</v>
      </c>
      <c r="C64" s="218"/>
      <c r="D64" s="218"/>
      <c r="E64" s="218"/>
      <c r="F64" s="218"/>
      <c r="G64" s="218"/>
      <c r="H64" s="218"/>
      <c r="I64" s="218"/>
      <c r="J64" s="219"/>
    </row>
    <row r="65" ht="13" customHeight="1" spans="2:10">
      <c r="B65" s="218" t="s">
        <v>161</v>
      </c>
      <c r="C65" s="218"/>
      <c r="D65" s="218"/>
      <c r="E65" s="218"/>
      <c r="F65" s="218"/>
      <c r="G65" s="218"/>
      <c r="H65" s="218"/>
      <c r="I65" s="218"/>
      <c r="J65" s="219"/>
    </row>
    <row r="66" ht="13" customHeight="1" spans="2:10">
      <c r="B66" s="218" t="s">
        <v>162</v>
      </c>
      <c r="C66" s="218"/>
      <c r="D66" s="218"/>
      <c r="E66" s="218"/>
      <c r="F66" s="218"/>
      <c r="G66" s="218"/>
      <c r="H66" s="218"/>
      <c r="I66" s="218"/>
      <c r="J66" s="219"/>
    </row>
    <row r="67" ht="14" customHeight="1" spans="2:10">
      <c r="B67" s="218"/>
      <c r="C67" s="218"/>
      <c r="D67" s="218"/>
      <c r="E67" s="218"/>
      <c r="F67" s="218"/>
      <c r="G67" s="218"/>
      <c r="H67" s="218"/>
      <c r="I67" s="218"/>
      <c r="J67" s="219"/>
    </row>
    <row r="68" ht="14" customHeight="1" spans="2:10">
      <c r="B68" s="218"/>
      <c r="C68" s="218"/>
      <c r="D68" s="218" t="s">
        <v>163</v>
      </c>
      <c r="E68" s="218"/>
      <c r="F68" s="218"/>
      <c r="G68" s="218"/>
      <c r="H68" s="218" t="s">
        <v>164</v>
      </c>
      <c r="I68" s="218"/>
      <c r="J68" s="219"/>
    </row>
    <row r="69" ht="14" customHeight="1" spans="2:10">
      <c r="B69" s="218"/>
      <c r="C69" s="218"/>
      <c r="D69" s="218" t="s">
        <v>165</v>
      </c>
      <c r="E69" s="218"/>
      <c r="F69" s="218"/>
      <c r="G69" s="218"/>
      <c r="H69" s="218" t="s">
        <v>166</v>
      </c>
      <c r="I69" s="218"/>
      <c r="J69" s="219"/>
    </row>
    <row r="70" ht="14" customHeight="1"/>
    <row r="71" ht="14" customHeight="1"/>
    <row r="72" ht="14" customHeight="1"/>
  </sheetData>
  <sheetProtection selectLockedCells="1"/>
  <mergeCells count="61">
    <mergeCell ref="B1:J1"/>
    <mergeCell ref="B2:J2"/>
    <mergeCell ref="B3:J3"/>
    <mergeCell ref="B4:J4"/>
    <mergeCell ref="B5:C5"/>
    <mergeCell ref="D5:G5"/>
    <mergeCell ref="B6:C6"/>
    <mergeCell ref="D6:G6"/>
    <mergeCell ref="B7:C7"/>
    <mergeCell ref="F7:G7"/>
    <mergeCell ref="B9:C9"/>
    <mergeCell ref="D9:G9"/>
    <mergeCell ref="B10:C10"/>
    <mergeCell ref="B12:C12"/>
    <mergeCell ref="F12:G12"/>
    <mergeCell ref="B13:J13"/>
    <mergeCell ref="E14:J14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B17:B18"/>
    <mergeCell ref="H17:H18"/>
    <mergeCell ref="I49:I50"/>
    <mergeCell ref="J5:J6"/>
    <mergeCell ref="J7:J8"/>
    <mergeCell ref="J9:J10"/>
    <mergeCell ref="J49:J50"/>
    <mergeCell ref="C17:E18"/>
    <mergeCell ref="I17:J18"/>
    <mergeCell ref="F17:G18"/>
    <mergeCell ref="D10:G11"/>
    <mergeCell ref="B49:H50"/>
    <mergeCell ref="B51:D52"/>
    <mergeCell ref="E51:J52"/>
  </mergeCells>
  <dataValidations count="1">
    <dataValidation allowBlank="1" showInputMessage="1" showErrorMessage="1" sqref="B3:J4" errorStyle="information"/>
  </dataValidations>
  <pageMargins left="0.2" right="0.2" top="0.39" bottom="0.39" header="0" footer="0"/>
  <pageSetup paperSize="9" scale="54" orientation="portrait" horizontalDpi="300" verticalDpi="300"/>
  <headerFooter alignWithMargins="0" scaleWithDoc="0"/>
  <rowBreaks count="1" manualBreakCount="1">
    <brk id="74" max="16383" man="1"/>
  </rowBreaks>
  <ignoredErrors>
    <ignoredError sqref="B34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22"/>
  </sheetPr>
  <dimension ref="A1:J29"/>
  <sheetViews>
    <sheetView showGridLines="0" showZeros="0" view="pageBreakPreview" zoomScale="60" zoomScaleNormal="100" workbookViewId="0">
      <selection activeCell="B1" sqref="B1"/>
    </sheetView>
  </sheetViews>
  <sheetFormatPr defaultColWidth="9" defaultRowHeight="27.9" customHeight="1"/>
  <cols>
    <col min="1" max="1" width="4" customWidth="1"/>
    <col min="2" max="2" width="13.3333333333333" customWidth="1"/>
    <col min="3" max="3" width="4.16666666666667" customWidth="1"/>
    <col min="4" max="4" width="4.75" customWidth="1"/>
    <col min="5" max="5" width="7" customWidth="1"/>
    <col min="6" max="6" width="19" customWidth="1"/>
    <col min="7" max="7" width="6.5" customWidth="1"/>
    <col min="8" max="8" width="10.9166666666667" customWidth="1"/>
    <col min="9" max="9" width="10.1666666666667" customWidth="1"/>
    <col min="10" max="10" width="6.33333333333333" customWidth="1"/>
  </cols>
  <sheetData>
    <row r="1" ht="25" customHeight="1"/>
    <row r="2" ht="56.25" customHeight="1" spans="1:10">
      <c r="A2" s="97" t="s">
        <v>167</v>
      </c>
      <c r="B2" s="97"/>
      <c r="C2" s="97"/>
      <c r="D2" s="97"/>
      <c r="E2" s="97"/>
      <c r="F2" s="97"/>
      <c r="G2" s="97"/>
      <c r="H2" s="97"/>
      <c r="I2" s="97"/>
      <c r="J2" s="97"/>
    </row>
    <row r="3" ht="10" customHeight="1" spans="1:10">
      <c r="B3" s="97"/>
      <c r="C3" s="97"/>
      <c r="D3" s="97"/>
      <c r="E3" s="97"/>
      <c r="F3" s="97"/>
      <c r="G3" s="97"/>
      <c r="H3" s="97"/>
      <c r="I3" s="97"/>
      <c r="J3" s="97"/>
    </row>
    <row r="4" s="96" customFormat="1" ht="26.15" customHeight="1" spans="1:10">
      <c r="B4" s="98" t="s">
        <v>168</v>
      </c>
      <c r="C4" s="99"/>
      <c r="D4" s="99"/>
      <c r="E4" s="99"/>
      <c r="F4" s="99"/>
      <c r="G4" s="99"/>
      <c r="H4" s="99"/>
      <c r="I4" s="99"/>
    </row>
    <row r="5" s="96" customFormat="1" ht="26.15" customHeight="1" spans="1:10">
      <c r="B5" s="100" t="s">
        <v>169</v>
      </c>
      <c r="C5" s="100"/>
      <c r="D5" s="100"/>
      <c r="E5" s="100"/>
      <c r="F5" s="100"/>
      <c r="G5" s="100"/>
      <c r="H5" s="100"/>
      <c r="I5" s="100"/>
    </row>
    <row r="6" s="96" customFormat="1" ht="26.15" customHeight="1" spans="1:10">
      <c r="B6" s="101" t="s">
        <v>170</v>
      </c>
      <c r="C6" s="100"/>
      <c r="D6" s="100"/>
      <c r="E6" s="100"/>
      <c r="F6" s="100"/>
      <c r="G6" s="100"/>
      <c r="H6" s="100"/>
      <c r="I6" s="102"/>
    </row>
    <row r="7" s="96" customFormat="1" ht="26.15" customHeight="1" spans="1:10">
      <c r="B7" s="102" t="s">
        <v>171</v>
      </c>
      <c r="C7" s="103">
        <f>报关资料录入!E21</f>
        <v>0</v>
      </c>
      <c r="D7" s="103"/>
      <c r="E7" s="103"/>
      <c r="F7" s="103"/>
      <c r="G7" s="103"/>
      <c r="H7" s="103"/>
      <c r="I7" s="103"/>
    </row>
    <row r="8" s="96" customFormat="1" ht="26.15" customHeight="1" spans="1:10">
      <c r="B8" s="102" t="s">
        <v>172</v>
      </c>
      <c r="C8" s="100" t="str">
        <f>报关资料录入!K12</f>
        <v>深圳特区</v>
      </c>
      <c r="D8" s="100"/>
      <c r="E8" s="100"/>
      <c r="F8" s="104"/>
      <c r="G8" s="104"/>
      <c r="H8" s="104"/>
      <c r="I8" s="105"/>
    </row>
    <row r="9" s="96" customFormat="1" ht="26.15" customHeight="1" spans="1:10">
      <c r="B9" s="102" t="s">
        <v>173</v>
      </c>
      <c r="C9" s="100" t="str">
        <f>报关资料录入!H14</f>
        <v>纸制或纤维板制盒/箱</v>
      </c>
      <c r="D9" s="100"/>
      <c r="E9" s="100"/>
      <c r="F9" s="100"/>
      <c r="G9" s="100"/>
      <c r="H9" s="105"/>
      <c r="I9" s="105"/>
    </row>
    <row r="10" s="96" customFormat="1" ht="26.15" customHeight="1" spans="1:10">
      <c r="B10" s="102" t="s">
        <v>174</v>
      </c>
      <c r="C10" s="100">
        <f>装箱单!E77</f>
        <v>30</v>
      </c>
      <c r="D10" s="100"/>
      <c r="E10" s="100" t="s">
        <v>175</v>
      </c>
      <c r="F10" s="100"/>
      <c r="G10" s="100"/>
      <c r="H10" s="105"/>
      <c r="I10" s="105"/>
    </row>
    <row r="11" s="96" customFormat="1" ht="26.15" customHeight="1" spans="1:10">
      <c r="B11" s="102" t="s">
        <v>176</v>
      </c>
      <c r="C11" s="100">
        <f>装箱单!H77</f>
        <v>30</v>
      </c>
      <c r="D11" s="100"/>
      <c r="E11" s="106" t="s">
        <v>177</v>
      </c>
      <c r="F11" s="106"/>
      <c r="G11" s="106"/>
      <c r="H11" s="105"/>
      <c r="I11" s="105"/>
    </row>
    <row r="12" s="96" customFormat="1" ht="26.15" customHeight="1" spans="1:10">
      <c r="B12" s="102" t="s">
        <v>178</v>
      </c>
      <c r="C12" s="100" t="str">
        <f>发票!I45</f>
        <v>USD</v>
      </c>
      <c r="D12" s="107">
        <f>发票!J45</f>
        <v>0</v>
      </c>
      <c r="E12" s="107"/>
      <c r="F12" s="107"/>
      <c r="G12" s="108"/>
      <c r="H12" s="105"/>
      <c r="I12" s="105"/>
    </row>
    <row r="13" s="96" customFormat="1" ht="26.15" customHeight="1" spans="1:10">
      <c r="B13" s="102" t="s">
        <v>179</v>
      </c>
      <c r="C13" s="100" t="str">
        <f>报关资料录入!E14</f>
        <v>水路运输</v>
      </c>
      <c r="D13" s="100"/>
      <c r="E13" s="100"/>
      <c r="F13" s="105"/>
      <c r="G13" s="105"/>
      <c r="H13" s="105"/>
      <c r="I13" s="105"/>
    </row>
    <row r="14" s="96" customFormat="1" ht="26.15" customHeight="1" spans="1:10">
      <c r="B14" s="102" t="s">
        <v>180</v>
      </c>
      <c r="C14" s="100">
        <f>报关资料录入!E10</f>
        <v>0</v>
      </c>
      <c r="D14" s="100"/>
      <c r="E14" s="100"/>
      <c r="F14" s="105"/>
      <c r="G14" s="105"/>
      <c r="H14" s="105"/>
      <c r="I14" s="105"/>
    </row>
    <row r="15" s="96" customFormat="1" ht="26.15" customHeight="1" spans="1:10">
      <c r="B15" s="102" t="s">
        <v>181</v>
      </c>
      <c r="C15" s="100" t="s">
        <v>182</v>
      </c>
      <c r="D15" s="100"/>
      <c r="E15" s="100"/>
      <c r="F15" s="105"/>
      <c r="G15" s="105"/>
      <c r="H15" s="105"/>
      <c r="I15" s="105"/>
    </row>
    <row r="16" s="96" customFormat="1" ht="26.15" customHeight="1" spans="1:10">
      <c r="B16" s="102" t="s">
        <v>183</v>
      </c>
      <c r="C16" s="102"/>
      <c r="D16" s="102"/>
      <c r="E16" s="102"/>
      <c r="F16" s="102"/>
      <c r="G16" s="102"/>
      <c r="H16" s="102"/>
      <c r="I16" s="102"/>
    </row>
    <row r="17" s="96" customFormat="1" ht="26.15" customHeight="1" spans="2:10">
      <c r="B17" s="102"/>
      <c r="C17" s="102"/>
      <c r="D17" s="102"/>
      <c r="E17" s="102"/>
      <c r="F17" s="102"/>
      <c r="G17" s="102"/>
      <c r="H17" s="102"/>
      <c r="I17" s="102"/>
    </row>
    <row r="18" s="96" customFormat="1" ht="26.15" customHeight="1" spans="2:10">
      <c r="B18" s="102"/>
      <c r="C18" s="102"/>
      <c r="D18" s="102"/>
      <c r="E18" s="102"/>
      <c r="F18" s="102"/>
      <c r="G18" s="102"/>
      <c r="H18" s="102"/>
      <c r="I18" s="102"/>
    </row>
    <row r="19" s="96" customFormat="1" ht="26.15" customHeight="1" spans="2:10">
      <c r="B19" s="102" t="s">
        <v>184</v>
      </c>
      <c r="C19" s="105"/>
      <c r="D19" s="105"/>
      <c r="E19" s="105"/>
      <c r="F19" s="105"/>
      <c r="G19" s="105"/>
      <c r="H19" s="105"/>
      <c r="I19" s="105"/>
    </row>
    <row r="20" s="96" customFormat="1" ht="26.15" customHeight="1" spans="2:10">
      <c r="B20" s="102"/>
      <c r="C20" s="105"/>
      <c r="D20" s="105"/>
      <c r="E20" s="105"/>
      <c r="F20" s="105"/>
      <c r="G20" s="105"/>
      <c r="H20" s="105"/>
      <c r="I20" s="105"/>
    </row>
    <row r="21" s="96" customFormat="1" ht="26.15" customHeight="1" spans="2:10">
      <c r="B21" s="104"/>
      <c r="C21" s="105"/>
      <c r="D21" s="105"/>
      <c r="E21" s="105"/>
      <c r="F21" s="105"/>
      <c r="G21" s="105"/>
      <c r="H21" s="105"/>
      <c r="I21" s="105"/>
    </row>
    <row r="22" s="96" customFormat="1" ht="39" customHeight="1" spans="2:10">
      <c r="B22" s="102" t="s">
        <v>185</v>
      </c>
      <c r="C22" s="109" t="str">
        <f>报关资料录入!E7</f>
        <v>深圳市龙岗区龙城街道黄阁坑社区吉祥里豪庭9栋铭德大厦A、B栋A座1010</v>
      </c>
      <c r="D22" s="109"/>
      <c r="E22" s="109"/>
      <c r="F22" s="109"/>
      <c r="G22" s="109"/>
      <c r="H22" s="98" t="s">
        <v>186</v>
      </c>
      <c r="I22" s="98"/>
    </row>
    <row r="23" s="96" customFormat="1" ht="26.15" customHeight="1" spans="2:10">
      <c r="B23" s="102" t="s">
        <v>187</v>
      </c>
      <c r="C23" s="100">
        <f>报关资料录入!E8</f>
        <v>0</v>
      </c>
      <c r="D23" s="100"/>
      <c r="E23" s="100"/>
      <c r="F23" s="100"/>
      <c r="G23" s="100"/>
      <c r="H23" s="104" t="s">
        <v>188</v>
      </c>
      <c r="I23" s="104"/>
    </row>
    <row r="24" s="96" customFormat="1" ht="26.15" customHeight="1" spans="2:10">
      <c r="B24" s="102" t="s">
        <v>189</v>
      </c>
      <c r="C24" s="100">
        <f>报关资料录入!F8</f>
        <v>0</v>
      </c>
      <c r="D24" s="100"/>
      <c r="E24" s="100"/>
      <c r="F24" s="100"/>
      <c r="G24" s="100"/>
      <c r="H24" s="110">
        <f>报关资料录入!G3</f>
        <v>46115</v>
      </c>
      <c r="I24" s="110"/>
    </row>
    <row r="25" ht="24.9" customHeight="1" spans="2:10">
      <c r="B25" s="111"/>
      <c r="C25" s="112"/>
      <c r="D25" s="112"/>
      <c r="E25" s="112"/>
      <c r="F25" s="112"/>
      <c r="G25" s="112"/>
      <c r="H25" s="113"/>
      <c r="I25" s="113"/>
      <c r="J25" s="114"/>
    </row>
    <row r="26" ht="24.9" customHeight="1" spans="2:10">
      <c r="B26" s="113"/>
      <c r="C26" s="113"/>
      <c r="D26" s="113"/>
      <c r="E26" s="113"/>
      <c r="H26" s="113"/>
      <c r="I26" s="113"/>
      <c r="J26" s="114"/>
    </row>
    <row r="27" ht="24.9" customHeight="1" spans="2:10">
      <c r="B27" s="115"/>
      <c r="C27" s="116"/>
      <c r="D27" s="116"/>
      <c r="E27" s="116"/>
      <c r="H27" s="117"/>
      <c r="I27" s="117"/>
    </row>
    <row r="28" ht="24.9" customHeight="1" spans="2:10">
      <c r="B28" s="115"/>
      <c r="C28" s="115"/>
      <c r="D28" s="115"/>
      <c r="E28" s="115"/>
      <c r="F28" s="115"/>
      <c r="G28" s="115"/>
      <c r="H28" s="115"/>
      <c r="I28" s="115"/>
    </row>
    <row r="29" ht="24.9" customHeight="1" spans="2:10">
      <c r="B29" s="115"/>
      <c r="C29" s="115"/>
      <c r="D29" s="115"/>
      <c r="E29" s="115"/>
      <c r="F29" s="115"/>
      <c r="G29" s="115"/>
      <c r="H29" s="115"/>
      <c r="I29" s="115"/>
    </row>
  </sheetData>
  <sheetProtection selectLockedCells="1"/>
  <mergeCells count="21">
    <mergeCell ref="A2:J2"/>
    <mergeCell ref="C4:I4"/>
    <mergeCell ref="B5:I5"/>
    <mergeCell ref="B6:H6"/>
    <mergeCell ref="C7:I7"/>
    <mergeCell ref="C8:E8"/>
    <mergeCell ref="F8:H8"/>
    <mergeCell ref="C9:F9"/>
    <mergeCell ref="C10:D10"/>
    <mergeCell ref="E10:F10"/>
    <mergeCell ref="C11:D11"/>
    <mergeCell ref="D12:F12"/>
    <mergeCell ref="C13:E13"/>
    <mergeCell ref="C14:E14"/>
    <mergeCell ref="C15:E15"/>
    <mergeCell ref="C22:G22"/>
    <mergeCell ref="H22:I22"/>
    <mergeCell ref="C23:F23"/>
    <mergeCell ref="H23:I23"/>
    <mergeCell ref="C24:F24"/>
    <mergeCell ref="H24:I24"/>
  </mergeCells>
  <pageMargins left="0.47" right="0.39" top="0.59" bottom="0.98" header="0.51" footer="0.51"/>
  <pageSetup paperSize="9" orientation="portrait" horizontalDpi="300" verticalDpi="300"/>
  <headerFooter alignWithMargins="0" scaleWithDoc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B2:F35"/>
  <sheetViews>
    <sheetView showGridLines="0" showZeros="0" view="pageBreakPreview" zoomScaleNormal="100" topLeftCell="A2" workbookViewId="0">
      <selection activeCell="E27" sqref="E27:F27"/>
    </sheetView>
  </sheetViews>
  <sheetFormatPr defaultColWidth="9" defaultRowHeight="15" outlineLevelCol="5"/>
  <cols>
    <col min="1" max="1" width="3.58333333333333" customWidth="1"/>
    <col min="2" max="2" width="6.83333333333333" customWidth="1"/>
    <col min="3" max="3" width="19.8333333333333" customWidth="1"/>
    <col min="4" max="4" width="16.8333333333333" customWidth="1"/>
    <col min="5" max="5" width="20.75" customWidth="1"/>
    <col min="6" max="6" width="56.5" customWidth="1"/>
  </cols>
  <sheetData>
    <row r="2" ht="39" customHeight="1" spans="2:6">
      <c r="B2" s="85" t="s">
        <v>190</v>
      </c>
      <c r="C2" s="85"/>
      <c r="D2" s="85"/>
      <c r="E2" s="85"/>
      <c r="F2" s="85"/>
    </row>
    <row r="3" ht="26" customHeight="1" spans="2:6">
      <c r="C3" s="86" t="s">
        <v>191</v>
      </c>
      <c r="D3" s="87"/>
      <c r="E3" s="87"/>
      <c r="F3" s="88"/>
    </row>
    <row r="4" ht="20" customHeight="1" spans="2:6">
      <c r="C4" s="88"/>
      <c r="D4" s="88"/>
      <c r="E4" s="88"/>
      <c r="F4" s="88"/>
    </row>
    <row r="5" ht="30" customHeight="1" spans="2:6">
      <c r="B5" s="89" t="s">
        <v>192</v>
      </c>
      <c r="C5" s="90" t="s">
        <v>193</v>
      </c>
      <c r="D5" s="90" t="s">
        <v>194</v>
      </c>
      <c r="E5" s="90" t="s">
        <v>195</v>
      </c>
      <c r="F5" s="91"/>
    </row>
    <row r="6" ht="20" customHeight="1" spans="2:6">
      <c r="B6" s="92">
        <f>报关资料录入!B21</f>
        <v>1</v>
      </c>
      <c r="C6" s="93">
        <f>报关资料录入!E21</f>
        <v>0</v>
      </c>
      <c r="D6" s="93">
        <f>报关资料录入!C21</f>
        <v>0</v>
      </c>
      <c r="E6" s="94">
        <f>报关资料录入!E22</f>
        <v>0</v>
      </c>
      <c r="F6" s="95"/>
    </row>
    <row r="7" ht="20" customHeight="1" spans="2:6">
      <c r="B7" s="92">
        <f>报关资料录入!B23</f>
        <v>2</v>
      </c>
      <c r="C7" s="93">
        <f>报关资料录入!E23</f>
        <v>0</v>
      </c>
      <c r="D7" s="93">
        <f>报关资料录入!C23</f>
        <v>0</v>
      </c>
      <c r="E7" s="94">
        <f>报关资料录入!E24</f>
        <v>0</v>
      </c>
      <c r="F7" s="95"/>
    </row>
    <row r="8" ht="20" customHeight="1" spans="2:6">
      <c r="B8" s="92">
        <f>报关资料录入!B25</f>
        <v>3</v>
      </c>
      <c r="C8" s="93">
        <f>报关资料录入!E25</f>
        <v>0</v>
      </c>
      <c r="D8" s="93">
        <f>报关资料录入!C25</f>
        <v>0</v>
      </c>
      <c r="E8" s="94">
        <f>报关资料录入!E26</f>
        <v>0</v>
      </c>
      <c r="F8" s="95"/>
    </row>
    <row r="9" ht="20" customHeight="1" spans="2:6">
      <c r="B9" s="92">
        <f>报关资料录入!B27</f>
        <v>4</v>
      </c>
      <c r="C9" s="93">
        <f>报关资料录入!E27</f>
        <v>0</v>
      </c>
      <c r="D9" s="93">
        <f>报关资料录入!C27</f>
        <v>0</v>
      </c>
      <c r="E9" s="94">
        <f>报关资料录入!E28</f>
        <v>0</v>
      </c>
      <c r="F9" s="95"/>
    </row>
    <row r="10" ht="20" customHeight="1" spans="2:6">
      <c r="B10" s="92">
        <f>报关资料录入!B29</f>
        <v>5</v>
      </c>
      <c r="C10" s="93">
        <f>报关资料录入!E29</f>
        <v>0</v>
      </c>
      <c r="D10" s="93">
        <f>报关资料录入!C29</f>
        <v>0</v>
      </c>
      <c r="E10" s="94">
        <f>报关资料录入!E30</f>
        <v>0</v>
      </c>
      <c r="F10" s="95"/>
    </row>
    <row r="11" ht="20" customHeight="1" spans="2:6">
      <c r="B11" s="92">
        <f>报关资料录入!B31</f>
        <v>6</v>
      </c>
      <c r="C11" s="93">
        <f>报关资料录入!E31</f>
        <v>0</v>
      </c>
      <c r="D11" s="93">
        <f>报关资料录入!C31</f>
        <v>0</v>
      </c>
      <c r="E11" s="94">
        <f>报关资料录入!E32</f>
        <v>0</v>
      </c>
      <c r="F11" s="95"/>
    </row>
    <row r="12" ht="20" customHeight="1" spans="2:6">
      <c r="B12" s="92">
        <f>报关资料录入!B33</f>
        <v>7</v>
      </c>
      <c r="C12" s="93">
        <f>报关资料录入!E33</f>
        <v>0</v>
      </c>
      <c r="D12" s="93">
        <f>报关资料录入!C33</f>
        <v>0</v>
      </c>
      <c r="E12" s="94">
        <f>报关资料录入!E34</f>
        <v>0</v>
      </c>
      <c r="F12" s="95"/>
    </row>
    <row r="13" ht="20" customHeight="1" spans="2:6">
      <c r="B13" s="92">
        <f>报关资料录入!B35</f>
        <v>8</v>
      </c>
      <c r="C13" s="93">
        <f>报关资料录入!E35</f>
        <v>0</v>
      </c>
      <c r="D13" s="93">
        <f>报关资料录入!C35</f>
        <v>0</v>
      </c>
      <c r="E13" s="94">
        <f>报关资料录入!E36</f>
        <v>0</v>
      </c>
      <c r="F13" s="95"/>
    </row>
    <row r="14" ht="20" customHeight="1" spans="2:6">
      <c r="B14" s="92">
        <f>报关资料录入!B37</f>
        <v>9</v>
      </c>
      <c r="C14" s="93">
        <f>报关资料录入!E37</f>
        <v>0</v>
      </c>
      <c r="D14" s="93">
        <f>报关资料录入!C37</f>
        <v>0</v>
      </c>
      <c r="E14" s="94">
        <f>报关资料录入!E38</f>
        <v>0</v>
      </c>
      <c r="F14" s="95"/>
    </row>
    <row r="15" customFormat="1" ht="20" customHeight="1" spans="2:6">
      <c r="B15" s="92">
        <f>报关资料录入!B39</f>
        <v>10</v>
      </c>
      <c r="C15" s="93">
        <f>报关资料录入!E39</f>
        <v>0</v>
      </c>
      <c r="D15" s="93">
        <f>报关资料录入!C39</f>
        <v>0</v>
      </c>
      <c r="E15" s="94">
        <f>报关资料录入!E40</f>
        <v>0</v>
      </c>
      <c r="F15" s="95"/>
    </row>
    <row r="16" customFormat="1" ht="20" customHeight="1" spans="2:6">
      <c r="B16" s="92">
        <f>报关资料录入!B41</f>
        <v>11</v>
      </c>
      <c r="C16" s="93">
        <f>报关资料录入!E41</f>
        <v>0</v>
      </c>
      <c r="D16" s="93">
        <f>报关资料录入!C41</f>
        <v>0</v>
      </c>
      <c r="E16" s="94">
        <f>报关资料录入!E42</f>
        <v>0</v>
      </c>
      <c r="F16" s="95"/>
    </row>
    <row r="17" customFormat="1" ht="20" customHeight="1" spans="2:6">
      <c r="B17" s="92">
        <f>报关资料录入!B43</f>
        <v>12</v>
      </c>
      <c r="C17" s="93">
        <f>报关资料录入!E43</f>
        <v>0</v>
      </c>
      <c r="D17" s="93">
        <f>报关资料录入!C43</f>
        <v>0</v>
      </c>
      <c r="E17" s="94">
        <f>报关资料录入!E44</f>
        <v>0</v>
      </c>
      <c r="F17" s="95"/>
    </row>
    <row r="18" customFormat="1" ht="20" customHeight="1" spans="2:6">
      <c r="B18" s="92">
        <f>报关资料录入!B45</f>
        <v>13</v>
      </c>
      <c r="C18" s="93">
        <f>报关资料录入!E45</f>
        <v>0</v>
      </c>
      <c r="D18" s="93">
        <f>报关资料录入!C45</f>
        <v>0</v>
      </c>
      <c r="E18" s="94">
        <f>报关资料录入!E46</f>
        <v>0</v>
      </c>
      <c r="F18" s="95"/>
    </row>
    <row r="19" customFormat="1" ht="20" customHeight="1" spans="2:6">
      <c r="B19" s="92">
        <f>报关资料录入!B47</f>
        <v>14</v>
      </c>
      <c r="C19" s="93">
        <f>报关资料录入!E47</f>
        <v>0</v>
      </c>
      <c r="D19" s="93">
        <f>报关资料录入!C47</f>
        <v>0</v>
      </c>
      <c r="E19" s="94">
        <f>报关资料录入!E48</f>
        <v>0</v>
      </c>
      <c r="F19" s="95"/>
    </row>
    <row r="20" customFormat="1" ht="20" customHeight="1" spans="2:6">
      <c r="B20" s="92">
        <f>报关资料录入!B49</f>
        <v>15</v>
      </c>
      <c r="C20" s="93">
        <f>报关资料录入!E49</f>
        <v>0</v>
      </c>
      <c r="D20" s="93">
        <f>报关资料录入!C49</f>
        <v>0</v>
      </c>
      <c r="E20" s="94">
        <f>报关资料录入!E50</f>
        <v>0</v>
      </c>
      <c r="F20" s="95"/>
    </row>
    <row r="21" customFormat="1" ht="20" customHeight="1" spans="2:6">
      <c r="B21" s="92">
        <f>报关资料录入!B51</f>
        <v>16</v>
      </c>
      <c r="C21" s="93">
        <f>报关资料录入!E51</f>
        <v>0</v>
      </c>
      <c r="D21" s="93">
        <f>报关资料录入!C51</f>
        <v>0</v>
      </c>
      <c r="E21" s="94">
        <f>报关资料录入!E52</f>
        <v>0</v>
      </c>
      <c r="F21" s="95"/>
    </row>
    <row r="22" customFormat="1" ht="20" customHeight="1" spans="2:6">
      <c r="B22" s="92">
        <f>报关资料录入!B53</f>
        <v>17</v>
      </c>
      <c r="C22" s="93">
        <f>报关资料录入!E53</f>
        <v>0</v>
      </c>
      <c r="D22" s="93">
        <f>报关资料录入!C53</f>
        <v>0</v>
      </c>
      <c r="E22" s="94">
        <f>报关资料录入!E54</f>
        <v>0</v>
      </c>
      <c r="F22" s="95"/>
    </row>
    <row r="23" customFormat="1" ht="20" customHeight="1" spans="2:6">
      <c r="B23" s="92">
        <f>报关资料录入!B55</f>
        <v>18</v>
      </c>
      <c r="C23" s="93">
        <f>报关资料录入!E55</f>
        <v>0</v>
      </c>
      <c r="D23" s="93">
        <f>报关资料录入!C55</f>
        <v>0</v>
      </c>
      <c r="E23" s="94">
        <f>报关资料录入!E56</f>
        <v>0</v>
      </c>
      <c r="F23" s="95"/>
    </row>
    <row r="24" customFormat="1" ht="20" customHeight="1" spans="2:6">
      <c r="B24" s="92">
        <f>报关资料录入!B57</f>
        <v>19</v>
      </c>
      <c r="C24" s="93">
        <f>报关资料录入!E57</f>
        <v>0</v>
      </c>
      <c r="D24" s="93">
        <f>报关资料录入!C57</f>
        <v>0</v>
      </c>
      <c r="E24" s="94">
        <f>报关资料录入!E58</f>
        <v>0</v>
      </c>
      <c r="F24" s="95"/>
    </row>
    <row r="25" customFormat="1" ht="20" customHeight="1" spans="2:6">
      <c r="B25" s="92">
        <f>报关资料录入!B59</f>
        <v>20</v>
      </c>
      <c r="C25" s="93">
        <f>报关资料录入!E59</f>
        <v>0</v>
      </c>
      <c r="D25" s="93">
        <f>报关资料录入!C59</f>
        <v>0</v>
      </c>
      <c r="E25" s="94">
        <f>报关资料录入!E60</f>
        <v>0</v>
      </c>
      <c r="F25" s="95"/>
    </row>
    <row r="26" customFormat="1" ht="20" customHeight="1" spans="2:6">
      <c r="B26" s="92">
        <f>报关资料录入!B61</f>
        <v>21</v>
      </c>
      <c r="C26" s="93">
        <f>报关资料录入!E61</f>
        <v>0</v>
      </c>
      <c r="D26" s="93">
        <f>报关资料录入!C61</f>
        <v>0</v>
      </c>
      <c r="E26" s="94">
        <f>报关资料录入!E62</f>
        <v>0</v>
      </c>
      <c r="F26" s="95"/>
    </row>
    <row r="27" customFormat="1" ht="20" customHeight="1" spans="2:6">
      <c r="B27" s="92">
        <f>报关资料录入!B63</f>
        <v>22</v>
      </c>
      <c r="C27" s="93">
        <f>报关资料录入!E63</f>
        <v>0</v>
      </c>
      <c r="D27" s="93">
        <f>报关资料录入!C63</f>
        <v>0</v>
      </c>
      <c r="E27" s="94">
        <f>报关资料录入!E64</f>
        <v>0</v>
      </c>
      <c r="F27" s="95"/>
    </row>
    <row r="28" customFormat="1" ht="20" customHeight="1" spans="2:6">
      <c r="B28" s="92">
        <f>报关资料录入!B65</f>
        <v>23</v>
      </c>
      <c r="C28" s="93">
        <f>报关资料录入!E65</f>
        <v>0</v>
      </c>
      <c r="D28" s="93">
        <f>报关资料录入!C65</f>
        <v>0</v>
      </c>
      <c r="E28" s="94">
        <f>报关资料录入!E66</f>
        <v>0</v>
      </c>
      <c r="F28" s="95"/>
    </row>
    <row r="29" customFormat="1" ht="20" customHeight="1" spans="2:6">
      <c r="B29" s="92">
        <f>报关资料录入!B67</f>
        <v>24</v>
      </c>
      <c r="C29" s="93">
        <f>报关资料录入!E67</f>
        <v>0</v>
      </c>
      <c r="D29" s="93">
        <f>报关资料录入!C67</f>
        <v>0</v>
      </c>
      <c r="E29" s="94">
        <f>报关资料录入!E68</f>
        <v>0</v>
      </c>
      <c r="F29" s="95"/>
    </row>
    <row r="30" customFormat="1" ht="20" customHeight="1" spans="2:6">
      <c r="B30" s="92">
        <f>报关资料录入!B69</f>
        <v>25</v>
      </c>
      <c r="C30" s="93">
        <f>报关资料录入!E69</f>
        <v>0</v>
      </c>
      <c r="D30" s="93">
        <f>报关资料录入!C69</f>
        <v>0</v>
      </c>
      <c r="E30" s="94">
        <f>报关资料录入!E70</f>
        <v>0</v>
      </c>
      <c r="F30" s="95"/>
    </row>
    <row r="31" customFormat="1" ht="20" customHeight="1" spans="2:6">
      <c r="B31" s="92">
        <f>报关资料录入!B71</f>
        <v>26</v>
      </c>
      <c r="C31" s="93">
        <f>报关资料录入!E71</f>
        <v>0</v>
      </c>
      <c r="D31" s="93">
        <f>报关资料录入!C71</f>
        <v>0</v>
      </c>
      <c r="E31" s="94">
        <f>报关资料录入!E72</f>
        <v>0</v>
      </c>
      <c r="F31" s="95"/>
    </row>
    <row r="32" customFormat="1" ht="20" customHeight="1" spans="2:6">
      <c r="B32" s="92">
        <f>报关资料录入!B73</f>
        <v>27</v>
      </c>
      <c r="C32" s="93">
        <f>报关资料录入!E73</f>
        <v>0</v>
      </c>
      <c r="D32" s="93">
        <f>报关资料录入!C73</f>
        <v>0</v>
      </c>
      <c r="E32" s="94">
        <f>报关资料录入!E74</f>
        <v>0</v>
      </c>
      <c r="F32" s="95"/>
    </row>
    <row r="33" customFormat="1" ht="20" customHeight="1" spans="2:6">
      <c r="B33" s="92">
        <f>报关资料录入!B75</f>
        <v>28</v>
      </c>
      <c r="C33" s="93">
        <f>报关资料录入!E75</f>
        <v>0</v>
      </c>
      <c r="D33" s="93">
        <f>报关资料录入!C75</f>
        <v>0</v>
      </c>
      <c r="E33" s="94">
        <f>报关资料录入!E76</f>
        <v>0</v>
      </c>
      <c r="F33" s="95"/>
    </row>
    <row r="34" customFormat="1" ht="20" customHeight="1" spans="2:6">
      <c r="B34" s="92">
        <f>报关资料录入!B77</f>
        <v>29</v>
      </c>
      <c r="C34" s="93">
        <f>报关资料录入!E77</f>
        <v>0</v>
      </c>
      <c r="D34" s="93">
        <f>报关资料录入!C77</f>
        <v>0</v>
      </c>
      <c r="E34" s="94">
        <f>报关资料录入!E78</f>
        <v>0</v>
      </c>
      <c r="F34" s="95"/>
    </row>
    <row r="35" customFormat="1" ht="20" customHeight="1" spans="2:6">
      <c r="B35" s="92">
        <f>报关资料录入!B79</f>
        <v>30</v>
      </c>
      <c r="C35" s="93">
        <f>报关资料录入!E79</f>
        <v>0</v>
      </c>
      <c r="D35" s="93">
        <f>报关资料录入!C79</f>
        <v>0</v>
      </c>
      <c r="E35" s="94">
        <f>报关资料录入!E80</f>
        <v>0</v>
      </c>
      <c r="F35" s="95"/>
    </row>
  </sheetData>
  <sheetProtection selectLockedCells="1"/>
  <mergeCells count="33">
    <mergeCell ref="B2:F2"/>
    <mergeCell ref="D3:E3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</mergeCells>
  <pageMargins left="0.39" right="0.39" top="0.39" bottom="0.39" header="0" footer="0"/>
  <pageSetup paperSize="9" scale="63" orientation="landscape" horizontalDpi="6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G37"/>
  <sheetViews>
    <sheetView showGridLines="0" showZeros="0" view="pageBreakPreview" zoomScaleNormal="100" workbookViewId="0">
      <selection activeCell="P15" sqref="P15"/>
    </sheetView>
  </sheetViews>
  <sheetFormatPr defaultColWidth="9" defaultRowHeight="15" outlineLevelCol="6"/>
  <cols>
    <col min="1" max="1" width="14.5833333333333" style="1" customWidth="1"/>
    <col min="2" max="2" width="13.5833333333333" style="1" customWidth="1"/>
    <col min="3" max="3" width="17.5833333333333" style="1" customWidth="1"/>
    <col min="4" max="4" width="2.33333333333333" style="1" customWidth="1"/>
    <col min="5" max="5" width="14.5833333333333" style="1" customWidth="1"/>
    <col min="6" max="6" width="14" style="1" customWidth="1"/>
    <col min="7" max="7" width="15.0833333333333" style="1" customWidth="1"/>
    <col min="8" max="16384" width="9" style="2"/>
  </cols>
  <sheetData>
    <row r="1" ht="23" spans="1:7">
      <c r="A1" s="3" t="s">
        <v>196</v>
      </c>
      <c r="B1" s="3"/>
      <c r="C1" s="3"/>
      <c r="D1" s="3"/>
      <c r="E1" s="3"/>
      <c r="F1" s="3"/>
      <c r="G1" s="3"/>
    </row>
    <row r="2" ht="10" customHeight="1" spans="1:7">
      <c r="A2" s="4"/>
      <c r="B2" s="4"/>
      <c r="C2" s="4"/>
      <c r="D2" s="4"/>
      <c r="E2" s="4"/>
      <c r="F2" s="4"/>
      <c r="G2" s="4"/>
    </row>
    <row r="3" ht="21" spans="1:7">
      <c r="A3" s="5"/>
      <c r="B3" s="5"/>
      <c r="C3" s="5"/>
      <c r="D3" s="5"/>
      <c r="E3" s="6"/>
      <c r="F3" s="7" t="s">
        <v>197</v>
      </c>
      <c r="G3" s="8">
        <f ca="1">RAND()*17560351+35308767</f>
        <v>50665778.9968009</v>
      </c>
    </row>
    <row r="4" ht="14" customHeight="1" spans="1:7">
      <c r="B4" s="9" t="s">
        <v>198</v>
      </c>
    </row>
    <row r="5" ht="17" customHeight="1" spans="1:7">
      <c r="A5" s="1" t="s">
        <v>199</v>
      </c>
    </row>
    <row r="6" ht="17" customHeight="1" spans="1:7">
      <c r="A6" s="10" t="s">
        <v>200</v>
      </c>
    </row>
    <row r="7" ht="17" customHeight="1" spans="1:7">
      <c r="A7" s="1" t="s">
        <v>201</v>
      </c>
    </row>
    <row r="8" ht="17" customHeight="1" spans="1:7">
      <c r="A8" s="11" t="s">
        <v>202</v>
      </c>
      <c r="B8" s="11"/>
    </row>
    <row r="9" ht="17" customHeight="1" spans="1:7">
      <c r="A9" s="11" t="s">
        <v>203</v>
      </c>
      <c r="B9" s="11"/>
    </row>
    <row r="10" ht="17" customHeight="1" spans="1:7">
      <c r="A10" s="12">
        <f>F14+30</f>
        <v>46145</v>
      </c>
      <c r="B10" s="12"/>
      <c r="C10" s="12"/>
      <c r="D10" s="12"/>
      <c r="E10" s="12"/>
      <c r="F10" s="12"/>
      <c r="G10" s="12"/>
    </row>
    <row r="11" ht="17" customHeight="1" spans="1:7">
      <c r="E11" s="13" t="s">
        <v>204</v>
      </c>
      <c r="F11" s="13"/>
      <c r="G11" s="14"/>
    </row>
    <row r="12" ht="35" customHeight="1" spans="1:7">
      <c r="E12" s="13"/>
      <c r="F12" s="13"/>
    </row>
    <row r="13" ht="20" customHeight="1" spans="1:7">
      <c r="C13" s="1" t="s">
        <v>205</v>
      </c>
      <c r="G13" s="15"/>
    </row>
    <row r="14" ht="20" customHeight="1" spans="1:7">
      <c r="F14" s="16">
        <f>报关资料录入!G3</f>
        <v>46115</v>
      </c>
      <c r="G14" s="16"/>
    </row>
    <row r="15" ht="29" customHeight="1" spans="1:7">
      <c r="D15" s="17" t="s">
        <v>206</v>
      </c>
    </row>
    <row r="16" ht="24" customHeight="1" spans="1:7">
      <c r="A16" s="18" t="s">
        <v>207</v>
      </c>
      <c r="B16" s="19"/>
    </row>
    <row r="17" ht="18" customHeight="1" spans="1:7">
      <c r="A17" s="20" t="s">
        <v>208</v>
      </c>
      <c r="B17" s="21" t="str">
        <f>报关资料录入!E4</f>
        <v>深圳市沐星科技有限公司</v>
      </c>
      <c r="C17" s="21"/>
      <c r="E17" s="20" t="s">
        <v>209</v>
      </c>
      <c r="F17" s="22">
        <f>报关资料录入!I3</f>
        <v>0</v>
      </c>
      <c r="G17" s="22"/>
    </row>
    <row r="18" ht="20" customHeight="1" spans="1:7">
      <c r="A18" s="20" t="s">
        <v>210</v>
      </c>
      <c r="B18" s="23">
        <f>报关资料录入!E21</f>
        <v>0</v>
      </c>
      <c r="C18" s="23"/>
      <c r="E18" s="20" t="s">
        <v>211</v>
      </c>
      <c r="F18" s="24" t="s">
        <v>212</v>
      </c>
      <c r="G18" s="24"/>
    </row>
    <row r="19" ht="18" customHeight="1" spans="1:7">
      <c r="A19" s="25" t="s">
        <v>213</v>
      </c>
      <c r="B19" s="23">
        <f>报关资料录入!C21</f>
        <v>0</v>
      </c>
      <c r="C19" s="23"/>
      <c r="E19" s="20" t="s">
        <v>214</v>
      </c>
      <c r="F19" s="26" t="s">
        <v>215</v>
      </c>
      <c r="G19" s="26"/>
    </row>
    <row r="20" ht="18" customHeight="1" spans="1:7">
      <c r="A20" s="27" t="s">
        <v>216</v>
      </c>
      <c r="B20" s="28" t="str">
        <f>发票!I45</f>
        <v>USD</v>
      </c>
      <c r="C20" s="29">
        <f>发票!J45</f>
        <v>0</v>
      </c>
      <c r="E20" s="20" t="s">
        <v>217</v>
      </c>
      <c r="F20" s="20" t="s">
        <v>218</v>
      </c>
      <c r="G20" s="20" t="s">
        <v>219</v>
      </c>
    </row>
    <row r="21" ht="18" customHeight="1" spans="1:7">
      <c r="A21" s="20" t="s">
        <v>220</v>
      </c>
      <c r="B21" s="26" t="str">
        <f>IF(报关单!J5&gt;0,报关单!J5,"年     月     日")</f>
        <v>年     月     日</v>
      </c>
      <c r="C21" s="26"/>
      <c r="D21" s="30"/>
      <c r="E21" s="20"/>
      <c r="F21" s="20" t="s">
        <v>221</v>
      </c>
      <c r="G21" s="20" t="s">
        <v>222</v>
      </c>
    </row>
    <row r="22" ht="18" customHeight="1" spans="1:7">
      <c r="A22" s="20" t="s">
        <v>223</v>
      </c>
      <c r="B22" s="31">
        <f>报关资料录入!E16</f>
        <v>0</v>
      </c>
      <c r="C22" s="31"/>
      <c r="E22" s="20"/>
      <c r="F22" s="20" t="s">
        <v>224</v>
      </c>
      <c r="G22" s="20" t="s">
        <v>225</v>
      </c>
    </row>
    <row r="23" ht="20" customHeight="1" spans="1:7">
      <c r="A23" s="20" t="s">
        <v>226</v>
      </c>
      <c r="B23" s="32" t="str">
        <f>报关资料录入!H9</f>
        <v>一般贸易</v>
      </c>
      <c r="C23" s="32"/>
      <c r="E23" s="20"/>
      <c r="F23" s="33" t="s">
        <v>227</v>
      </c>
      <c r="G23" s="33"/>
    </row>
    <row r="24" ht="18" customHeight="1" spans="1:7">
      <c r="A24" s="20" t="s">
        <v>228</v>
      </c>
      <c r="B24" s="34" t="str">
        <f>报关资料录入!K12</f>
        <v>深圳特区</v>
      </c>
      <c r="C24" s="34"/>
      <c r="E24" s="20" t="s">
        <v>229</v>
      </c>
      <c r="F24" s="35" t="s">
        <v>230</v>
      </c>
      <c r="G24" s="36" t="s">
        <v>231</v>
      </c>
    </row>
    <row r="25" spans="1:7">
      <c r="A25" s="37" t="s">
        <v>232</v>
      </c>
      <c r="B25" s="38"/>
      <c r="C25" s="39"/>
      <c r="E25" s="40" t="s">
        <v>233</v>
      </c>
      <c r="F25" s="41"/>
      <c r="G25" s="42"/>
    </row>
    <row r="26" ht="74.25" customHeight="1" spans="1:7">
      <c r="A26" s="43"/>
      <c r="B26" s="44"/>
      <c r="C26" s="45"/>
      <c r="E26" s="46"/>
      <c r="F26" s="47"/>
      <c r="G26" s="48"/>
    </row>
    <row r="27" ht="35" customHeight="1" spans="1:7">
      <c r="A27" s="49" t="s">
        <v>234</v>
      </c>
      <c r="B27" s="49"/>
      <c r="C27" s="49"/>
      <c r="E27" s="50" t="s">
        <v>234</v>
      </c>
      <c r="F27" s="51"/>
      <c r="G27" s="52"/>
    </row>
    <row r="28" ht="48" customHeight="1" spans="1:7">
      <c r="A28" s="53" t="s">
        <v>235</v>
      </c>
      <c r="B28" s="54"/>
      <c r="C28" s="55"/>
      <c r="E28" s="56" t="s">
        <v>236</v>
      </c>
      <c r="F28" s="57"/>
      <c r="G28" s="58"/>
    </row>
    <row r="29" ht="20" customHeight="1" spans="1:7">
      <c r="A29" s="59"/>
      <c r="B29" s="60"/>
      <c r="C29" s="61"/>
      <c r="E29" s="62"/>
      <c r="F29" s="47"/>
      <c r="G29" s="48"/>
    </row>
    <row r="30" ht="38.25" customHeight="1" spans="1:7">
      <c r="A30" s="63" t="s">
        <v>237</v>
      </c>
      <c r="B30" s="64">
        <f>报关资料录入!D3</f>
        <v>0</v>
      </c>
      <c r="C30" s="65"/>
      <c r="D30" s="66"/>
      <c r="E30" s="63" t="s">
        <v>238</v>
      </c>
      <c r="F30" s="67"/>
      <c r="G30" s="39"/>
    </row>
    <row r="31" ht="16" customHeight="1" spans="1:7">
      <c r="A31" s="68" t="s">
        <v>239</v>
      </c>
      <c r="B31" s="69">
        <f>报关资料录入!E3</f>
        <v>0</v>
      </c>
      <c r="C31" s="70"/>
      <c r="D31" s="11"/>
      <c r="E31" s="68" t="s">
        <v>240</v>
      </c>
      <c r="F31" s="38"/>
      <c r="G31" s="71"/>
    </row>
    <row r="32" ht="13" customHeight="1" spans="1:7">
      <c r="A32" s="62"/>
      <c r="B32" s="72">
        <f>F14</f>
        <v>46115</v>
      </c>
      <c r="C32" s="73"/>
      <c r="D32" s="74"/>
      <c r="E32" s="75"/>
      <c r="F32" s="76" t="s">
        <v>241</v>
      </c>
      <c r="G32" s="73"/>
    </row>
    <row r="33" spans="1:7">
      <c r="A33" s="77"/>
      <c r="B33" s="78"/>
      <c r="C33" s="79"/>
      <c r="E33" s="80"/>
      <c r="F33" s="44"/>
      <c r="G33" s="81"/>
    </row>
    <row r="34" ht="24" customHeight="1" spans="1:7">
      <c r="A34" s="82"/>
      <c r="B34" s="82"/>
      <c r="C34" s="82"/>
      <c r="D34" s="83" t="s">
        <v>242</v>
      </c>
      <c r="E34" s="82"/>
      <c r="F34" s="82"/>
      <c r="G34" s="82" t="s">
        <v>243</v>
      </c>
    </row>
    <row r="35" ht="5" customHeight="1" spans="1:7">
      <c r="A35" s="82"/>
      <c r="B35" s="82"/>
      <c r="C35" s="82"/>
      <c r="D35" s="83"/>
      <c r="E35" s="82"/>
      <c r="F35" s="82"/>
      <c r="G35" s="82"/>
    </row>
    <row r="36" ht="4" customHeight="1" spans="1:7">
      <c r="A36" s="83"/>
      <c r="B36" s="83"/>
      <c r="C36" s="83"/>
      <c r="D36" s="83"/>
      <c r="E36" s="83"/>
      <c r="F36" s="83"/>
      <c r="G36" s="83"/>
    </row>
    <row r="37" spans="1:7">
      <c r="A37" s="84"/>
      <c r="B37" s="84"/>
    </row>
  </sheetData>
  <sheetProtection selectLockedCells="1"/>
  <mergeCells count="26">
    <mergeCell ref="A1:G1"/>
    <mergeCell ref="A10:G10"/>
    <mergeCell ref="E11:F11"/>
    <mergeCell ref="F14:G14"/>
    <mergeCell ref="B17:C17"/>
    <mergeCell ref="F17:G17"/>
    <mergeCell ref="B18:C18"/>
    <mergeCell ref="F18:G18"/>
    <mergeCell ref="B19:C19"/>
    <mergeCell ref="F19:G19"/>
    <mergeCell ref="B21:C21"/>
    <mergeCell ref="B22:C22"/>
    <mergeCell ref="B23:C23"/>
    <mergeCell ref="F23:G23"/>
    <mergeCell ref="B24:C24"/>
    <mergeCell ref="F25:G25"/>
    <mergeCell ref="E26:G26"/>
    <mergeCell ref="A27:C27"/>
    <mergeCell ref="E27:G27"/>
    <mergeCell ref="F28:G28"/>
    <mergeCell ref="B30:C30"/>
    <mergeCell ref="E30:F30"/>
    <mergeCell ref="B31:C31"/>
    <mergeCell ref="B32:C32"/>
    <mergeCell ref="F32:G32"/>
    <mergeCell ref="E20:E23"/>
  </mergeCells>
  <pageMargins left="0.28" right="0.26" top="0.51" bottom="0.2" header="0" footer="0"/>
  <pageSetup paperSize="9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报关资料录入</vt:lpstr>
      <vt:lpstr>报关单</vt:lpstr>
      <vt:lpstr>装箱单</vt:lpstr>
      <vt:lpstr>发票</vt:lpstr>
      <vt:lpstr>合同</vt:lpstr>
      <vt:lpstr>存仓委托书</vt:lpstr>
      <vt:lpstr>申报要素</vt:lpstr>
      <vt:lpstr>报关委托书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</cp:lastModifiedBy>
  <cp:revision>1</cp:revision>
  <dcterms:created xsi:type="dcterms:W3CDTF">1996-12-17T01:32:00Z</dcterms:created>
  <cp:lastPrinted>2013-10-25T04:21:00Z</cp:lastPrinted>
  <dcterms:modified xsi:type="dcterms:W3CDTF">2026-04-17T10:31:16Z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582C12E823804D5F94EB02D77185B362_13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